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Kaktukset" sheetId="1" r:id="rId1"/>
  </sheets>
  <definedNames>
    <definedName name="Chart_Dates">OFFSET(Kaktukset!$I$1, 0, 0, 1, Kaktukset!$A$1)</definedName>
    <definedName name="Data_Alluaudia">OFFSET(Kaktukset!$I$5, 0, COUNTA(Kaktukset!$I$2:$ZU$2) - Kaktukset!$A$1, 1, Kaktukset!$A$1)</definedName>
    <definedName name="Data_Aloëaristata_1">OFFSET(Kaktukset!$I$2, 0, COUNTA(Kaktukset!$I$2:$ZU$2) - Kaktukset!$A$1, 1, Kaktukset!$A$1)</definedName>
    <definedName name="Data_Aloëzebrinadanyz_2">OFFSET(Kaktukset!$I$3, 0, COUNTA(Kaktukset!$I$2:$ZU$2) - Kaktukset!$A$1, 1, Kaktukset!$A$1)</definedName>
    <definedName name="Data_Aloëzebrinadanyz_3">OFFSET(Kaktukset!$I$4, 0, COUNTA(Kaktukset!$I$2:$ZU$2) - Kaktukset!$A$1, 1, Kaktukset!$A$1)</definedName>
    <definedName name="Data_Astrophytummyriostig_4">OFFSET(Kaktukset!$I$6, 0, COUNTA(Kaktukset!$I$2:$ZU$2) - Kaktukset!$A$1, 1, Kaktukset!$A$1)</definedName>
    <definedName name="Data_Baobab">OFFSET(Kaktukset!$I$7, 0, COUNTA(Kaktukset!$I$2:$ZU$2) - Kaktukset!$A$1, 1, Kaktukset!$A$1)</definedName>
    <definedName name="Data_Baucarnearecurvata">OFFSET(Kaktukset!$I$8, 0, COUNTA(Kaktukset!$I$2:$ZU$2) - Kaktukset!$A$1, 1, Kaktukset!$A$1)</definedName>
    <definedName name="Data_Echinocereusrigidiss_5">OFFSET(Kaktukset!#REF!, 0, COUNTA(Kaktukset!$I$2:$ZU$2) - Kaktukset!$A$1, 1, Kaktukset!$A$1)</definedName>
    <definedName name="Data_Espostoalanata_6">OFFSET(Kaktukset!$I$9, 0, COUNTA(Kaktukset!$I$2:$ZU$2) - Kaktukset!$A$1, 1, Kaktukset!$A$1)</definedName>
    <definedName name="Data_Euphorbiaaeruginosa_7">OFFSET(Kaktukset!$I$11, 0, COUNTA(Kaktukset!$I$2:$ZU$2) - Kaktukset!$A$1, 1, Kaktukset!$A$1)</definedName>
    <definedName name="Data_Euphorbiaenopla_8">OFFSET(Kaktukset!$I$12, 0, COUNTA(Kaktukset!$I$2:$ZU$2) - Kaktukset!$A$1, 1, Kaktukset!$A$1)</definedName>
    <definedName name="Data_Euphorbialoricata_9">OFFSET(Kaktukset!$I$13, 0, COUNTA(Kaktukset!$I$2:$ZU$2) - Kaktukset!$A$1, 1, Kaktukset!$A$1)</definedName>
    <definedName name="Data_Euphorbiaplatyclada_10">OFFSET(Kaktukset!$I$14, 0, COUNTA(Kaktukset!$I$2:$ZU$2) - Kaktukset!$A$1, 1, Kaktukset!$A$1)</definedName>
    <definedName name="Data_FerocactusGlaucescen_11">OFFSET(Kaktukset!$I$15, 0, COUNTA(Kaktukset!$I$2:$ZU$2) - Kaktukset!$A$1, 1, Kaktukset!$A$1)</definedName>
    <definedName name="Data_Lophocereusmarginatu_12">OFFSET(Kaktukset!$I$16, 0, COUNTA(Kaktukset!$I$2:$ZU$2) - Kaktukset!$A$1, 1, Kaktukset!$A$1)</definedName>
    <definedName name="Data_Mammillariabackeberg_13">OFFSET(Kaktukset!$I$17, 0, COUNTA(Kaktukset!$I$2:$ZU$2) - Kaktukset!$A$1, 1, Kaktukset!$A$1)</definedName>
    <definedName name="Data_Mammillariabackeberg_14">OFFSET(Kaktukset!$I$18, 0, COUNTA(Kaktukset!$I$2:$ZU$2) - Kaktukset!$A$1, 1, Kaktukset!$A$1)</definedName>
    <definedName name="Data_Myrtillocactusgeomet_15">OFFSET(Kaktukset!$I$19, 0, COUNTA(Kaktukset!$I$2:$ZU$2) - Kaktukset!$A$1, 1, Kaktukset!$A$1)</definedName>
    <definedName name="Data_Neocardenasiaherzogi_16">OFFSET(Kaktukset!$I$20, 0, COUNTA(Kaktukset!$I$2:$ZU$2) - Kaktukset!$A$1, 1, Kaktukset!$A$1)</definedName>
    <definedName name="Data_Parodialeninghausii_17">OFFSET(Kaktukset!$I$21, 0, COUNTA(Kaktukset!$I$2:$ZU$2) - Kaktukset!$A$1, 1, Kaktukset!$A$1)</definedName>
    <definedName name="Data_Parodiamagnifica_18">OFFSET(Kaktukset!$I$22, 0, COUNTA(Kaktukset!$I$2:$ZU$2) - Kaktukset!$A$1, 1, Kaktukset!$A$1)</definedName>
    <definedName name="Data_Stetsoniacoryne_19">OFFSET(Kaktukset!$I$23, 0, COUNTA(Kaktukset!$I$2:$ZU$2) - Kaktukset!$A$1, 1, Kaktukset!$A$1)</definedName>
    <definedName name="Data_Tephrocactusmolinens_20">OFFSET(Kaktukset!$I$24, 0, COUNTA(Kaktukset!$I$2:$ZU$2) - Kaktukset!$A$1, 1, Kaktukset!$A$1)</definedName>
    <definedName name="Data_Trichocereuspachanoi_21">OFFSET(Kaktukset!$I$25, 0, COUNTA(Kaktukset!$I$2:$ZU$2) - Kaktukset!$A$1, 1, Kaktukset!$A$1)</definedName>
    <definedName name="Data_Weberbauerocereushor_22">OFFSET(Kaktukset!$I$26, 0, COUNTA(Kaktukset!$I$2:$ZU$2) - Kaktukset!$A$1, 1, Kaktukset!$A$1)</definedName>
  </definedNames>
</workbook>
</file>

<file path=xl/comments1.xml><?xml version="1.0" encoding="utf-8"?>
<comments xmlns="http://schemas.openxmlformats.org/spreadsheetml/2006/main">
  <authors>
    <author>Vallu</author>
  </authors>
  <commentList>
    <comment ref="C2" authorId="0">
      <text>
        <t/>
      </text>
    </comment>
    <comment ref="C3" authorId="0">
      <text>
        <t/>
      </text>
    </comment>
    <comment ref="C5" authorId="0">
      <text>
        <t/>
      </text>
    </comment>
    <comment ref="C6" authorId="0">
      <text>
        <t/>
      </text>
    </comment>
    <comment ref="C7" authorId="0">
      <text>
        <t/>
      </text>
    </comment>
    <comment ref="C8" authorId="0">
      <text>
        <t/>
      </text>
    </comment>
    <comment ref="C9" authorId="0">
      <text>
        <t/>
      </text>
    </comment>
    <comment ref="C11" authorId="0">
      <text>
        <t/>
      </text>
    </comment>
    <comment ref="C12" authorId="0">
      <text>
        <t/>
      </text>
    </comment>
    <comment ref="C13" authorId="0">
      <text>
        <t/>
      </text>
    </comment>
    <comment ref="C14" authorId="0">
      <text>
        <t/>
      </text>
    </comment>
    <comment ref="C15" authorId="0">
      <text>
        <t/>
      </text>
    </comment>
    <comment ref="C16" authorId="0">
      <text>
        <t/>
      </text>
    </comment>
    <comment ref="C17" authorId="0">
      <text>
        <t/>
      </text>
    </comment>
    <comment ref="C19" authorId="0">
      <text>
        <t/>
      </text>
    </comment>
    <comment ref="C20" authorId="0">
      <text>
        <t/>
      </text>
    </comment>
    <comment ref="C21" authorId="0">
      <text>
        <t/>
      </text>
    </comment>
    <comment ref="C22" authorId="0">
      <text>
        <t/>
      </text>
    </comment>
    <comment ref="C23" authorId="0">
      <text>
        <t/>
      </text>
    </comment>
    <comment ref="C24" authorId="0">
      <text>
        <t/>
      </text>
    </comment>
    <comment ref="C25" authorId="0">
      <text>
        <t/>
      </text>
    </comment>
    <comment ref="C26" authorId="0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:mm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A41"/>
  <sheetViews>
    <sheetView workbookViewId="0" rightToLeft="0"/>
  </sheetViews>
  <sheetData>
    <row r="1">
      <c r="A1">
        <v>20</v>
      </c>
      <c r="D1" t="str">
        <v>min</v>
      </c>
      <c r="E1" t="str">
        <v>max</v>
      </c>
      <c r="F1" t="str">
        <v>Summer</v>
      </c>
      <c r="G1" t="str">
        <v>Tolerance</v>
      </c>
      <c r="H1" t="str">
        <v>min Lämpötila</v>
      </c>
      <c r="I1">
        <v>46121</v>
      </c>
      <c r="J1">
        <v>46122</v>
      </c>
      <c r="K1">
        <v>46123</v>
      </c>
      <c r="L1">
        <v>46124</v>
      </c>
      <c r="M1">
        <v>46125</v>
      </c>
      <c r="N1">
        <v>46126</v>
      </c>
      <c r="O1">
        <v>46127</v>
      </c>
      <c r="P1">
        <v>46128</v>
      </c>
      <c r="Q1">
        <v>46129</v>
      </c>
      <c r="R1">
        <v>46130</v>
      </c>
      <c r="S1">
        <v>46131</v>
      </c>
      <c r="T1">
        <v>46132</v>
      </c>
      <c r="U1">
        <v>46133</v>
      </c>
      <c r="V1">
        <v>46134</v>
      </c>
      <c r="W1">
        <v>46135</v>
      </c>
      <c r="X1">
        <v>46136</v>
      </c>
      <c r="Y1">
        <v>46137</v>
      </c>
      <c r="Z1">
        <v>46138</v>
      </c>
      <c r="AA1">
        <v>46139</v>
      </c>
      <c r="AB1">
        <v>46140</v>
      </c>
      <c r="AC1">
        <v>46141</v>
      </c>
      <c r="AD1">
        <v>46142</v>
      </c>
      <c r="AE1">
        <v>46143</v>
      </c>
      <c r="AF1">
        <v>46144</v>
      </c>
      <c r="AG1">
        <v>46145</v>
      </c>
      <c r="AH1">
        <v>46146</v>
      </c>
      <c r="AI1">
        <v>46147</v>
      </c>
      <c r="AJ1">
        <v>46148</v>
      </c>
      <c r="AK1">
        <v>46149</v>
      </c>
      <c r="AL1">
        <v>46150</v>
      </c>
      <c r="AM1">
        <v>46151</v>
      </c>
      <c r="AN1">
        <v>46152</v>
      </c>
      <c r="AO1">
        <v>46153</v>
      </c>
      <c r="AP1">
        <v>46154</v>
      </c>
      <c r="AQ1">
        <v>46155</v>
      </c>
      <c r="AR1">
        <v>46156</v>
      </c>
      <c r="AS1">
        <v>46157</v>
      </c>
      <c r="AT1">
        <v>46158</v>
      </c>
      <c r="AU1">
        <v>46159</v>
      </c>
      <c r="AV1">
        <v>46160</v>
      </c>
      <c r="AW1">
        <v>46161</v>
      </c>
      <c r="AX1">
        <v>46162</v>
      </c>
      <c r="AY1">
        <v>46163</v>
      </c>
      <c r="AZ1">
        <v>46164</v>
      </c>
      <c r="BA1">
        <v>46165</v>
      </c>
      <c r="BB1">
        <v>46166</v>
      </c>
      <c r="BC1">
        <v>46167</v>
      </c>
      <c r="BD1">
        <v>46168</v>
      </c>
      <c r="BE1">
        <v>46169</v>
      </c>
      <c r="BF1">
        <v>46170</v>
      </c>
      <c r="BG1">
        <v>46171</v>
      </c>
      <c r="BH1">
        <v>46172</v>
      </c>
      <c r="BI1">
        <v>46173</v>
      </c>
      <c r="BJ1">
        <v>46174</v>
      </c>
      <c r="BK1">
        <v>46175</v>
      </c>
      <c r="BL1">
        <v>46176</v>
      </c>
      <c r="BM1">
        <v>46177</v>
      </c>
      <c r="BN1">
        <v>46178</v>
      </c>
      <c r="BO1">
        <v>46179</v>
      </c>
      <c r="BP1">
        <v>46180</v>
      </c>
      <c r="BQ1">
        <v>46181</v>
      </c>
      <c r="BR1">
        <v>46182</v>
      </c>
      <c r="BS1">
        <v>46183</v>
      </c>
      <c r="BT1">
        <v>46184</v>
      </c>
      <c r="BU1">
        <v>46185</v>
      </c>
      <c r="BV1">
        <v>46186</v>
      </c>
      <c r="BW1">
        <v>46187</v>
      </c>
      <c r="BX1">
        <v>46188</v>
      </c>
      <c r="BY1">
        <v>46189</v>
      </c>
      <c r="BZ1">
        <v>46190</v>
      </c>
      <c r="CA1">
        <v>46191</v>
      </c>
      <c r="CB1">
        <v>46192</v>
      </c>
      <c r="CC1">
        <v>46193</v>
      </c>
      <c r="CD1">
        <v>46194</v>
      </c>
      <c r="CE1">
        <v>46195</v>
      </c>
      <c r="CF1">
        <v>46196</v>
      </c>
      <c r="CG1">
        <v>46197</v>
      </c>
      <c r="CH1">
        <v>46198</v>
      </c>
      <c r="CI1">
        <v>46199</v>
      </c>
      <c r="CJ1">
        <v>46200</v>
      </c>
      <c r="CK1">
        <v>46201</v>
      </c>
      <c r="CL1">
        <v>46202</v>
      </c>
      <c r="CM1">
        <v>46203</v>
      </c>
      <c r="CN1">
        <v>46204</v>
      </c>
      <c r="CO1">
        <v>46205</v>
      </c>
      <c r="CP1">
        <v>46206</v>
      </c>
      <c r="CQ1">
        <v>46207</v>
      </c>
      <c r="CR1">
        <v>46208</v>
      </c>
      <c r="CS1">
        <v>46209</v>
      </c>
      <c r="CT1">
        <v>46210</v>
      </c>
      <c r="CU1">
        <v>46211</v>
      </c>
      <c r="CV1">
        <v>46212</v>
      </c>
      <c r="CW1">
        <v>46213</v>
      </c>
      <c r="CX1">
        <v>46214</v>
      </c>
      <c r="CY1">
        <v>46215</v>
      </c>
      <c r="CZ1">
        <v>46216</v>
      </c>
      <c r="DA1">
        <v>46217</v>
      </c>
      <c r="DB1">
        <v>46218</v>
      </c>
      <c r="DC1">
        <v>46219</v>
      </c>
      <c r="DD1">
        <v>46220</v>
      </c>
      <c r="DE1">
        <v>46221</v>
      </c>
      <c r="DF1">
        <v>46222</v>
      </c>
      <c r="DG1">
        <v>46223</v>
      </c>
      <c r="DH1">
        <v>46224</v>
      </c>
      <c r="DI1">
        <v>46225</v>
      </c>
      <c r="DJ1">
        <v>46226</v>
      </c>
      <c r="DK1">
        <v>46227</v>
      </c>
      <c r="DL1">
        <v>46228</v>
      </c>
      <c r="DM1">
        <v>46229</v>
      </c>
      <c r="DN1">
        <v>46230</v>
      </c>
      <c r="DO1">
        <v>46231</v>
      </c>
      <c r="DP1">
        <v>46232</v>
      </c>
      <c r="DQ1">
        <v>46233</v>
      </c>
      <c r="DR1">
        <v>46234</v>
      </c>
      <c r="DS1">
        <v>46235</v>
      </c>
      <c r="DT1">
        <v>46236</v>
      </c>
      <c r="DU1">
        <v>46237</v>
      </c>
      <c r="DV1">
        <v>46238</v>
      </c>
      <c r="DW1">
        <v>46239</v>
      </c>
      <c r="DX1">
        <v>46240</v>
      </c>
      <c r="DY1">
        <v>46241</v>
      </c>
      <c r="DZ1">
        <v>46242</v>
      </c>
      <c r="EA1">
        <v>46243</v>
      </c>
      <c r="EB1">
        <v>46244</v>
      </c>
      <c r="EC1">
        <v>46245</v>
      </c>
      <c r="ED1">
        <v>46246</v>
      </c>
      <c r="EE1">
        <v>46247</v>
      </c>
      <c r="EF1">
        <v>46248</v>
      </c>
      <c r="EG1">
        <v>46249</v>
      </c>
      <c r="EH1">
        <v>46250</v>
      </c>
      <c r="EI1">
        <v>46251</v>
      </c>
      <c r="EJ1">
        <v>46252</v>
      </c>
      <c r="EK1">
        <v>46253</v>
      </c>
      <c r="EL1">
        <v>46254</v>
      </c>
      <c r="EM1">
        <v>46255</v>
      </c>
      <c r="EN1">
        <v>46256</v>
      </c>
      <c r="EO1">
        <v>46257</v>
      </c>
      <c r="EP1">
        <v>46258</v>
      </c>
      <c r="EQ1">
        <v>46259</v>
      </c>
      <c r="ER1">
        <v>46260</v>
      </c>
      <c r="ES1">
        <v>46261</v>
      </c>
      <c r="ET1">
        <v>46262</v>
      </c>
      <c r="EU1">
        <v>46263</v>
      </c>
      <c r="EV1">
        <v>46264</v>
      </c>
      <c r="EW1">
        <v>46265</v>
      </c>
      <c r="EX1">
        <v>46266</v>
      </c>
      <c r="EY1">
        <v>46267</v>
      </c>
      <c r="EZ1">
        <v>46268</v>
      </c>
      <c r="FA1">
        <v>46269</v>
      </c>
      <c r="FB1">
        <v>46270</v>
      </c>
      <c r="FC1">
        <v>46271</v>
      </c>
      <c r="FD1">
        <v>46272</v>
      </c>
      <c r="FE1">
        <v>46273</v>
      </c>
      <c r="FF1">
        <v>46274</v>
      </c>
      <c r="FG1">
        <v>46275</v>
      </c>
      <c r="FH1">
        <v>46276</v>
      </c>
      <c r="FI1">
        <v>46277</v>
      </c>
      <c r="FJ1">
        <v>46278</v>
      </c>
      <c r="FK1">
        <v>46279</v>
      </c>
      <c r="FL1">
        <v>46280</v>
      </c>
      <c r="FM1">
        <v>46281</v>
      </c>
      <c r="FN1">
        <v>46282</v>
      </c>
      <c r="FO1">
        <v>46283</v>
      </c>
      <c r="FP1">
        <v>46284</v>
      </c>
      <c r="FQ1">
        <v>46285</v>
      </c>
      <c r="FR1">
        <v>46286</v>
      </c>
      <c r="FS1">
        <v>46287</v>
      </c>
      <c r="FT1">
        <v>46288</v>
      </c>
      <c r="FU1">
        <v>46289</v>
      </c>
      <c r="FV1">
        <v>46290</v>
      </c>
      <c r="FW1">
        <v>46291</v>
      </c>
      <c r="FX1">
        <v>46292</v>
      </c>
      <c r="FY1">
        <v>46293</v>
      </c>
      <c r="FZ1">
        <v>46294</v>
      </c>
      <c r="GA1">
        <v>46295</v>
      </c>
      <c r="GB1">
        <v>46296</v>
      </c>
      <c r="GC1">
        <v>46297</v>
      </c>
      <c r="GD1">
        <v>46298</v>
      </c>
      <c r="GE1">
        <v>46299</v>
      </c>
      <c r="GF1">
        <v>46300</v>
      </c>
      <c r="GG1">
        <v>46301</v>
      </c>
      <c r="GH1">
        <v>46302</v>
      </c>
      <c r="GI1">
        <v>46303</v>
      </c>
      <c r="GJ1">
        <v>46304</v>
      </c>
      <c r="GK1">
        <v>46305</v>
      </c>
      <c r="GL1">
        <v>46306</v>
      </c>
      <c r="GM1">
        <v>46307</v>
      </c>
      <c r="GN1">
        <v>46308</v>
      </c>
      <c r="GO1">
        <v>46309</v>
      </c>
      <c r="GP1">
        <v>46310</v>
      </c>
      <c r="GQ1">
        <v>46311</v>
      </c>
      <c r="GR1">
        <v>46312</v>
      </c>
      <c r="GS1">
        <v>46313</v>
      </c>
      <c r="GT1">
        <v>46314</v>
      </c>
      <c r="GU1">
        <v>46315</v>
      </c>
      <c r="GV1">
        <v>46316</v>
      </c>
      <c r="GW1">
        <v>46317</v>
      </c>
      <c r="GX1">
        <v>46318</v>
      </c>
      <c r="GY1">
        <v>46319</v>
      </c>
      <c r="GZ1">
        <v>46320</v>
      </c>
      <c r="HA1">
        <v>46321</v>
      </c>
      <c r="HB1">
        <v>46322</v>
      </c>
      <c r="HC1">
        <v>46323</v>
      </c>
      <c r="HD1">
        <v>46324</v>
      </c>
      <c r="HE1">
        <v>46325</v>
      </c>
      <c r="HF1">
        <v>46326</v>
      </c>
      <c r="HG1">
        <v>46327</v>
      </c>
      <c r="HH1">
        <v>46328</v>
      </c>
      <c r="HI1">
        <v>46329</v>
      </c>
      <c r="HJ1">
        <v>46330</v>
      </c>
      <c r="HK1">
        <v>46331</v>
      </c>
      <c r="HL1">
        <v>46332</v>
      </c>
      <c r="HM1">
        <v>46333</v>
      </c>
      <c r="HN1">
        <v>46334</v>
      </c>
      <c r="HO1">
        <v>46335</v>
      </c>
      <c r="HP1">
        <v>46336</v>
      </c>
      <c r="HQ1">
        <v>46337</v>
      </c>
      <c r="HR1">
        <v>46338</v>
      </c>
      <c r="HS1">
        <v>46339</v>
      </c>
      <c r="HT1">
        <v>46340</v>
      </c>
      <c r="HU1">
        <v>46341</v>
      </c>
      <c r="HV1">
        <v>46342</v>
      </c>
      <c r="HW1">
        <v>46343</v>
      </c>
      <c r="HX1">
        <v>46344</v>
      </c>
      <c r="HY1">
        <v>46345</v>
      </c>
      <c r="HZ1">
        <v>46346</v>
      </c>
      <c r="IA1">
        <v>46347</v>
      </c>
      <c r="IB1">
        <v>46348</v>
      </c>
      <c r="IC1">
        <v>46349</v>
      </c>
      <c r="ID1">
        <v>46350</v>
      </c>
      <c r="IE1">
        <v>46351</v>
      </c>
      <c r="IF1">
        <v>46352</v>
      </c>
      <c r="IG1">
        <v>46353</v>
      </c>
      <c r="IH1">
        <v>46354</v>
      </c>
      <c r="II1">
        <v>46355</v>
      </c>
      <c r="IJ1">
        <v>46356</v>
      </c>
      <c r="IK1">
        <v>46357</v>
      </c>
      <c r="IL1">
        <v>46358</v>
      </c>
      <c r="IM1">
        <v>46359</v>
      </c>
      <c r="IN1">
        <v>46360</v>
      </c>
      <c r="IO1">
        <v>46361</v>
      </c>
      <c r="IP1">
        <v>46362</v>
      </c>
      <c r="IQ1">
        <v>46363</v>
      </c>
      <c r="IR1">
        <v>46364</v>
      </c>
      <c r="IS1">
        <v>46365</v>
      </c>
      <c r="IT1">
        <v>46366</v>
      </c>
      <c r="IU1">
        <v>46367</v>
      </c>
      <c r="IV1">
        <v>46368</v>
      </c>
      <c r="IW1">
        <v>46369</v>
      </c>
      <c r="IX1">
        <v>46370</v>
      </c>
      <c r="IY1">
        <v>46371</v>
      </c>
      <c r="IZ1">
        <v>46372</v>
      </c>
      <c r="JA1">
        <v>46373</v>
      </c>
    </row>
    <row r="2">
      <c r="A2">
        <v>7</v>
      </c>
      <c r="C2" t="str">
        <v>Aloë aristata</v>
      </c>
      <c r="D2">
        <f>MIN(I2:XFD2)</f>
        <v>1960</v>
      </c>
      <c r="E2">
        <f>MAX(I2:XFD2)</f>
        <v>2388</v>
      </c>
      <c r="H2">
        <v>10</v>
      </c>
      <c r="I2">
        <v>2144</v>
      </c>
      <c r="J2">
        <v>2120</v>
      </c>
      <c r="K2">
        <v>2093</v>
      </c>
      <c r="L2">
        <v>2075</v>
      </c>
      <c r="M2">
        <v>2183</v>
      </c>
      <c r="N2">
        <v>2148</v>
      </c>
      <c r="O2">
        <v>2125</v>
      </c>
      <c r="P2">
        <v>2103</v>
      </c>
      <c r="Q2">
        <v>2090</v>
      </c>
      <c r="R2">
        <v>2192</v>
      </c>
      <c r="S2">
        <v>2159</v>
      </c>
      <c r="T2">
        <v>2132</v>
      </c>
      <c r="U2">
        <v>2111</v>
      </c>
      <c r="V2">
        <v>2153</v>
      </c>
      <c r="W2">
        <v>2135</v>
      </c>
      <c r="X2">
        <v>2115</v>
      </c>
      <c r="Y2">
        <v>2098</v>
      </c>
      <c r="Z2">
        <v>2085</v>
      </c>
      <c r="AA2">
        <v>2388</v>
      </c>
      <c r="AB2">
        <v>2346</v>
      </c>
      <c r="AC2">
        <v>2307</v>
      </c>
      <c r="AD2">
        <v>2262</v>
      </c>
      <c r="AE2">
        <v>2222</v>
      </c>
      <c r="AF2">
        <v>2183</v>
      </c>
      <c r="AG2">
        <v>2155</v>
      </c>
      <c r="AH2">
        <v>2139</v>
      </c>
      <c r="AI2">
        <v>2123</v>
      </c>
      <c r="AJ2">
        <v>2100</v>
      </c>
      <c r="AK2">
        <v>2082</v>
      </c>
      <c r="AL2">
        <v>2124</v>
      </c>
      <c r="AM2">
        <v>2104</v>
      </c>
      <c r="AN2">
        <v>2091</v>
      </c>
      <c r="AO2">
        <v>2081</v>
      </c>
      <c r="AP2">
        <v>2173</v>
      </c>
      <c r="AQ2">
        <v>2153</v>
      </c>
      <c r="AR2">
        <v>2138</v>
      </c>
      <c r="AS2">
        <v>2123</v>
      </c>
      <c r="AT2">
        <v>2108</v>
      </c>
      <c r="AU2">
        <v>2094</v>
      </c>
      <c r="AV2">
        <v>2176</v>
      </c>
      <c r="AW2">
        <v>2153</v>
      </c>
      <c r="AX2">
        <v>2138</v>
      </c>
      <c r="AY2">
        <v>2127</v>
      </c>
      <c r="AZ2">
        <v>2110</v>
      </c>
      <c r="BA2">
        <v>2107</v>
      </c>
      <c r="BB2">
        <v>2104</v>
      </c>
      <c r="BC2">
        <v>2101</v>
      </c>
      <c r="BD2">
        <v>2129</v>
      </c>
      <c r="BE2">
        <v>2129</v>
      </c>
      <c r="BF2">
        <v>2094</v>
      </c>
      <c r="BG2">
        <v>2094</v>
      </c>
      <c r="BH2">
        <v>2094</v>
      </c>
      <c r="BI2">
        <v>2094</v>
      </c>
      <c r="BJ2">
        <v>2046</v>
      </c>
      <c r="BK2">
        <v>2037</v>
      </c>
      <c r="BL2">
        <v>2028</v>
      </c>
      <c r="BM2">
        <v>2019</v>
      </c>
      <c r="BN2">
        <v>2010</v>
      </c>
      <c r="BO2">
        <v>2001</v>
      </c>
      <c r="BP2">
        <v>1992</v>
      </c>
      <c r="BQ2">
        <v>2009.3333333333333</v>
      </c>
      <c r="BR2">
        <v>2026.6666666666665</v>
      </c>
      <c r="BS2">
        <v>2044</v>
      </c>
      <c r="BT2">
        <v>2032</v>
      </c>
      <c r="BU2">
        <v>2020</v>
      </c>
      <c r="BV2">
        <v>2006</v>
      </c>
      <c r="BW2">
        <v>2033.3333333333333</v>
      </c>
      <c r="BX2">
        <v>2060.6666666666665</v>
      </c>
      <c r="BY2">
        <v>2088</v>
      </c>
      <c r="BZ2">
        <v>2076</v>
      </c>
      <c r="CA2">
        <v>2064.75</v>
      </c>
      <c r="CB2">
        <v>2053.5</v>
      </c>
      <c r="CC2">
        <v>2042.25</v>
      </c>
      <c r="CD2">
        <v>2031</v>
      </c>
      <c r="CE2">
        <v>2059.142857142857</v>
      </c>
      <c r="CF2">
        <v>2087.285714285714</v>
      </c>
      <c r="CG2">
        <v>2115.428571428571</v>
      </c>
      <c r="CH2">
        <v>2143.5714285714284</v>
      </c>
      <c r="CI2">
        <v>2171.7142857142853</v>
      </c>
      <c r="CJ2">
        <v>2199.8571428571427</v>
      </c>
      <c r="CK2">
        <v>2227.9999999999995</v>
      </c>
      <c r="CL2">
        <v>2209.4999999999995</v>
      </c>
      <c r="CM2">
        <v>2190.9999999999995</v>
      </c>
      <c r="CN2">
        <v>2172.5</v>
      </c>
      <c r="CO2">
        <v>2154</v>
      </c>
      <c r="CP2">
        <v>2135.5</v>
      </c>
      <c r="CQ2">
        <v>2117</v>
      </c>
      <c r="CR2">
        <v>2118.1666666666665</v>
      </c>
      <c r="CS2">
        <v>2119.3333333333335</v>
      </c>
      <c r="CT2">
        <v>2120.5</v>
      </c>
      <c r="CU2">
        <v>2121.6666666666665</v>
      </c>
      <c r="CV2">
        <v>2122.8333333333335</v>
      </c>
      <c r="CW2">
        <v>2124</v>
      </c>
      <c r="CX2">
        <v>2125.1666666666665</v>
      </c>
      <c r="CY2">
        <v>2126.3333333333335</v>
      </c>
      <c r="CZ2">
        <v>2127.5</v>
      </c>
      <c r="DA2">
        <v>2128.6666666666665</v>
      </c>
      <c r="DB2">
        <v>2129.8333333333335</v>
      </c>
      <c r="DC2">
        <v>2131</v>
      </c>
      <c r="DD2">
        <v>2132.1666666666665</v>
      </c>
      <c r="DE2">
        <v>2133.3333333333335</v>
      </c>
      <c r="DF2">
        <v>2134.5</v>
      </c>
      <c r="DG2">
        <v>2135.6666666666665</v>
      </c>
      <c r="DH2">
        <v>2136.8333333333335</v>
      </c>
      <c r="DI2">
        <v>2138</v>
      </c>
      <c r="DJ2">
        <v>2161.3333333333335</v>
      </c>
      <c r="DK2">
        <v>2184.6666666666665</v>
      </c>
      <c r="DL2">
        <v>2208</v>
      </c>
      <c r="DM2">
        <v>2217.714285714286</v>
      </c>
      <c r="DN2">
        <v>2227.4285714285716</v>
      </c>
      <c r="DO2">
        <v>2237.1428571428573</v>
      </c>
      <c r="DP2">
        <v>2246.8571428571427</v>
      </c>
      <c r="DQ2">
        <v>2256.5714285714284</v>
      </c>
      <c r="DR2">
        <v>2266.285714285714</v>
      </c>
      <c r="DS2">
        <v>2276</v>
      </c>
      <c r="DT2">
        <v>2247.5</v>
      </c>
      <c r="DU2">
        <v>2219</v>
      </c>
      <c r="DV2">
        <v>2231</v>
      </c>
      <c r="DW2">
        <v>2243</v>
      </c>
      <c r="DX2">
        <v>2255</v>
      </c>
      <c r="DY2">
        <v>2267</v>
      </c>
      <c r="DZ2">
        <v>2279</v>
      </c>
      <c r="EA2">
        <v>2291</v>
      </c>
      <c r="EB2">
        <v>2291</v>
      </c>
      <c r="EC2">
        <v>2291</v>
      </c>
      <c r="ED2">
        <v>2291</v>
      </c>
      <c r="EE2">
        <v>2291</v>
      </c>
      <c r="EF2">
        <v>2291</v>
      </c>
      <c r="EG2">
        <v>2291</v>
      </c>
      <c r="EH2">
        <v>2291</v>
      </c>
      <c r="FU2">
        <v>1960</v>
      </c>
    </row>
    <row r="3">
      <c r="A3">
        <v>9</v>
      </c>
      <c r="B3" t="str">
        <v>brown</v>
      </c>
      <c r="C3" t="str">
        <v>Aloë zebrina danyz</v>
      </c>
      <c r="D3">
        <f>MIN(I3:XFD3)</f>
        <v>896</v>
      </c>
      <c r="E3">
        <f>MAX(I3:XFD3)</f>
        <v>1120</v>
      </c>
      <c r="H3">
        <v>15</v>
      </c>
      <c r="I3">
        <v>1120</v>
      </c>
      <c r="J3">
        <v>1081</v>
      </c>
      <c r="K3">
        <v>1037</v>
      </c>
      <c r="L3">
        <v>1010</v>
      </c>
      <c r="M3">
        <v>1107</v>
      </c>
      <c r="N3">
        <v>1066</v>
      </c>
      <c r="O3">
        <v>1032</v>
      </c>
      <c r="P3">
        <v>1005</v>
      </c>
      <c r="Q3">
        <v>997</v>
      </c>
      <c r="R3">
        <v>1090</v>
      </c>
      <c r="S3">
        <v>1058</v>
      </c>
      <c r="T3">
        <v>1029</v>
      </c>
      <c r="U3">
        <v>1001</v>
      </c>
      <c r="V3">
        <v>1050</v>
      </c>
      <c r="W3">
        <v>1028</v>
      </c>
      <c r="X3">
        <v>998</v>
      </c>
      <c r="Y3">
        <v>974</v>
      </c>
      <c r="Z3">
        <v>966</v>
      </c>
      <c r="AA3">
        <v>1073</v>
      </c>
      <c r="AB3">
        <v>1032</v>
      </c>
      <c r="AC3">
        <v>1009</v>
      </c>
      <c r="AD3">
        <v>977</v>
      </c>
      <c r="AE3">
        <v>969</v>
      </c>
      <c r="AF3">
        <v>1060</v>
      </c>
      <c r="AG3">
        <v>1024</v>
      </c>
      <c r="AH3">
        <v>1014</v>
      </c>
      <c r="AI3">
        <v>996</v>
      </c>
      <c r="AJ3">
        <v>972</v>
      </c>
      <c r="AK3">
        <v>957</v>
      </c>
      <c r="AL3">
        <v>1037</v>
      </c>
      <c r="AM3">
        <v>987</v>
      </c>
      <c r="AN3">
        <v>971</v>
      </c>
      <c r="AO3">
        <v>1005</v>
      </c>
      <c r="AQ3">
        <v>972</v>
      </c>
      <c r="AR3">
        <v>968</v>
      </c>
      <c r="AS3">
        <v>963</v>
      </c>
      <c r="AT3">
        <v>1017</v>
      </c>
      <c r="AU3">
        <v>996</v>
      </c>
      <c r="BA3">
        <v>1003</v>
      </c>
      <c r="BD3">
        <v>936</v>
      </c>
      <c r="BF3">
        <v>912</v>
      </c>
      <c r="BP3">
        <v>896</v>
      </c>
      <c r="BU3">
        <v>932</v>
      </c>
      <c r="BY3">
        <v>904</v>
      </c>
      <c r="FQ3">
        <v>1041</v>
      </c>
      <c r="FU3">
        <v>986</v>
      </c>
    </row>
    <row r="4">
      <c r="A4">
        <v>5</v>
      </c>
      <c r="B4" t="str">
        <v xml:space="preserve">white </v>
      </c>
      <c r="C4" t="str">
        <v>Aloë zebrina danyz</v>
      </c>
      <c r="D4">
        <f>MIN(I4:XFD4)</f>
        <v>841</v>
      </c>
      <c r="E4">
        <f>MAX(I4:XFD4)</f>
        <v>1047</v>
      </c>
      <c r="I4">
        <v>1011</v>
      </c>
      <c r="J4">
        <v>980</v>
      </c>
      <c r="K4">
        <v>942</v>
      </c>
      <c r="L4">
        <v>913</v>
      </c>
      <c r="M4">
        <v>987</v>
      </c>
      <c r="N4">
        <v>959</v>
      </c>
      <c r="O4">
        <v>934</v>
      </c>
      <c r="P4">
        <v>909</v>
      </c>
      <c r="Q4">
        <v>898</v>
      </c>
      <c r="R4">
        <v>1047</v>
      </c>
      <c r="S4">
        <v>1009</v>
      </c>
      <c r="T4">
        <v>987</v>
      </c>
      <c r="U4">
        <v>951</v>
      </c>
      <c r="V4">
        <v>997</v>
      </c>
      <c r="W4">
        <v>976</v>
      </c>
      <c r="X4">
        <v>947</v>
      </c>
      <c r="Y4">
        <v>920</v>
      </c>
      <c r="Z4">
        <v>905</v>
      </c>
      <c r="AA4">
        <v>1035</v>
      </c>
      <c r="AB4">
        <v>1002</v>
      </c>
      <c r="AC4">
        <v>977</v>
      </c>
      <c r="AD4">
        <v>930</v>
      </c>
      <c r="AE4">
        <v>910</v>
      </c>
      <c r="AF4">
        <v>980</v>
      </c>
      <c r="AG4">
        <v>947</v>
      </c>
      <c r="AH4">
        <v>937</v>
      </c>
      <c r="AI4">
        <v>917</v>
      </c>
      <c r="AJ4">
        <v>879</v>
      </c>
      <c r="AK4">
        <v>859</v>
      </c>
      <c r="AL4">
        <v>952</v>
      </c>
      <c r="AM4">
        <v>899</v>
      </c>
      <c r="AN4">
        <v>878</v>
      </c>
      <c r="AO4">
        <v>938</v>
      </c>
      <c r="AQ4">
        <v>895</v>
      </c>
      <c r="AR4">
        <v>888</v>
      </c>
      <c r="AS4">
        <v>880</v>
      </c>
      <c r="AT4">
        <v>913</v>
      </c>
      <c r="AU4">
        <v>890</v>
      </c>
      <c r="BA4">
        <v>872</v>
      </c>
      <c r="BD4">
        <v>841</v>
      </c>
      <c r="BF4">
        <v>926</v>
      </c>
      <c r="BP4">
        <v>859</v>
      </c>
      <c r="BU4">
        <v>860</v>
      </c>
      <c r="BZ4">
        <v>907</v>
      </c>
      <c r="FQ4">
        <v>987</v>
      </c>
      <c r="FU4">
        <v>936</v>
      </c>
    </row>
    <row r="5">
      <c r="A5">
        <v>14</v>
      </c>
      <c r="C5" t="str">
        <v>Alluaudia procera</v>
      </c>
      <c r="D5">
        <f>MIN(EB5:XFD5)</f>
        <v>1010</v>
      </c>
      <c r="E5">
        <f>MAX(EB5:XFD5)</f>
        <v>1087</v>
      </c>
      <c r="AU5">
        <v>304</v>
      </c>
      <c r="AW5">
        <v>293</v>
      </c>
      <c r="AY5">
        <v>286</v>
      </c>
      <c r="BA5">
        <v>282</v>
      </c>
      <c r="BD5">
        <v>307</v>
      </c>
      <c r="BF5">
        <v>292</v>
      </c>
      <c r="BJ5">
        <v>272</v>
      </c>
      <c r="BP5">
        <v>253</v>
      </c>
      <c r="BS5">
        <v>247</v>
      </c>
      <c r="BY5">
        <v>243</v>
      </c>
      <c r="CK5">
        <v>264</v>
      </c>
      <c r="CQ5">
        <v>250</v>
      </c>
      <c r="CS5">
        <v>250</v>
      </c>
      <c r="DI5">
        <v>256</v>
      </c>
      <c r="DL5">
        <v>251</v>
      </c>
      <c r="EB5">
        <v>1011</v>
      </c>
      <c r="EC5">
        <v>1010</v>
      </c>
      <c r="EE5">
        <v>1079</v>
      </c>
      <c r="EG5">
        <v>1061</v>
      </c>
      <c r="FD5">
        <v>1059</v>
      </c>
      <c r="FG5">
        <v>1056</v>
      </c>
      <c r="FL5">
        <v>1087</v>
      </c>
      <c r="FR5">
        <v>1059</v>
      </c>
      <c r="FU5">
        <v>1049</v>
      </c>
    </row>
    <row r="6">
      <c r="A6">
        <v>9</v>
      </c>
      <c r="C6" t="str">
        <v>Astrophytum myriostigma</v>
      </c>
      <c r="D6">
        <f>MIN(AG6:XFD6)</f>
        <v>603</v>
      </c>
      <c r="E6">
        <f>MAX(AG6:XFD6)</f>
        <v>725</v>
      </c>
      <c r="H6">
        <v>5</v>
      </c>
      <c r="I6">
        <v>965</v>
      </c>
      <c r="J6">
        <v>954</v>
      </c>
      <c r="K6">
        <v>937</v>
      </c>
      <c r="L6">
        <v>927</v>
      </c>
      <c r="M6">
        <v>914</v>
      </c>
      <c r="N6">
        <v>906</v>
      </c>
      <c r="O6">
        <v>897</v>
      </c>
      <c r="P6">
        <v>890</v>
      </c>
      <c r="Q6">
        <v>886</v>
      </c>
      <c r="R6">
        <v>879</v>
      </c>
      <c r="S6">
        <v>875</v>
      </c>
      <c r="T6">
        <v>868</v>
      </c>
      <c r="U6">
        <v>861</v>
      </c>
      <c r="V6">
        <v>904</v>
      </c>
      <c r="W6">
        <v>896</v>
      </c>
      <c r="X6">
        <v>886</v>
      </c>
      <c r="Y6">
        <v>877</v>
      </c>
      <c r="Z6">
        <v>873</v>
      </c>
      <c r="AA6">
        <v>867</v>
      </c>
      <c r="AB6">
        <v>859</v>
      </c>
      <c r="AC6">
        <v>853</v>
      </c>
      <c r="AD6">
        <v>844</v>
      </c>
      <c r="AE6">
        <v>843</v>
      </c>
      <c r="AF6">
        <v>896</v>
      </c>
      <c r="AG6">
        <v>725</v>
      </c>
      <c r="AH6">
        <v>715</v>
      </c>
      <c r="AI6">
        <v>706</v>
      </c>
      <c r="AJ6">
        <v>694</v>
      </c>
      <c r="AK6">
        <v>685</v>
      </c>
      <c r="AL6">
        <v>672</v>
      </c>
      <c r="AM6">
        <v>664</v>
      </c>
      <c r="AN6">
        <v>656</v>
      </c>
      <c r="AO6">
        <v>684</v>
      </c>
      <c r="AR6">
        <v>664</v>
      </c>
      <c r="AT6">
        <v>649</v>
      </c>
      <c r="AU6">
        <v>646</v>
      </c>
      <c r="BA6">
        <v>639</v>
      </c>
      <c r="BD6">
        <v>631</v>
      </c>
      <c r="BF6">
        <v>644</v>
      </c>
      <c r="BP6">
        <v>603</v>
      </c>
      <c r="BY6">
        <v>605</v>
      </c>
      <c r="FQ6">
        <v>635</v>
      </c>
      <c r="FU6">
        <v>628</v>
      </c>
    </row>
    <row r="7">
      <c r="A7">
        <v>7</v>
      </c>
      <c r="B7">
        <v>30.8</v>
      </c>
      <c r="C7" t="str">
        <v>Adenium obesum 'Ansu Baobab'</v>
      </c>
      <c r="D7" t="str">
        <v xml:space="preserve"> </v>
      </c>
      <c r="E7">
        <f>MAX(I7:XFD7)</f>
        <v>1190</v>
      </c>
      <c r="AU7">
        <v>1135</v>
      </c>
      <c r="AW7">
        <v>1113</v>
      </c>
      <c r="AY7">
        <v>1102</v>
      </c>
      <c r="BA7">
        <v>1097</v>
      </c>
      <c r="BD7">
        <v>1150</v>
      </c>
      <c r="BF7">
        <v>1136</v>
      </c>
      <c r="BJ7">
        <v>1176</v>
      </c>
      <c r="BP7">
        <v>1133</v>
      </c>
      <c r="BS7">
        <v>1109</v>
      </c>
      <c r="BY7">
        <v>1082</v>
      </c>
      <c r="CK7">
        <v>1067</v>
      </c>
      <c r="CQ7">
        <v>1071</v>
      </c>
      <c r="FG7">
        <v>1190</v>
      </c>
    </row>
    <row r="8">
      <c r="A8" t="str">
        <v>14?</v>
      </c>
      <c r="B8">
        <v>30.8</v>
      </c>
      <c r="C8" t="str">
        <v>Baucarnea recurvata</v>
      </c>
      <c r="D8">
        <f>MIN(I8:XFD8)</f>
        <v>1128</v>
      </c>
      <c r="E8">
        <f>MAX(I8:XFD8)</f>
        <v>1982</v>
      </c>
      <c r="DI8">
        <v>1982</v>
      </c>
      <c r="DS8">
        <v>1791</v>
      </c>
      <c r="DU8">
        <v>1744</v>
      </c>
      <c r="EA8">
        <v>1334</v>
      </c>
      <c r="ED8">
        <v>1266</v>
      </c>
      <c r="EE8">
        <v>1245</v>
      </c>
      <c r="EG8">
        <v>1218</v>
      </c>
      <c r="EH8">
        <v>1198</v>
      </c>
      <c r="FH8">
        <v>1241</v>
      </c>
      <c r="FK8">
        <v>1202</v>
      </c>
      <c r="FL8">
        <v>1191</v>
      </c>
      <c r="FR8">
        <v>1147</v>
      </c>
      <c r="FU8">
        <v>1128</v>
      </c>
    </row>
    <row r="9">
      <c r="A9">
        <v>7</v>
      </c>
      <c r="C9" t="str">
        <v>Espostoa lanata</v>
      </c>
      <c r="D9">
        <f>MIN(I9:XFD9)</f>
        <v>706</v>
      </c>
      <c r="E9">
        <f>MAX(I9:XFD9)</f>
        <v>876</v>
      </c>
      <c r="H9">
        <v>10</v>
      </c>
      <c r="I9">
        <v>760</v>
      </c>
      <c r="J9">
        <v>758</v>
      </c>
      <c r="K9">
        <v>752</v>
      </c>
      <c r="L9">
        <v>748</v>
      </c>
      <c r="M9">
        <v>810</v>
      </c>
      <c r="N9">
        <v>795</v>
      </c>
      <c r="O9">
        <v>781</v>
      </c>
      <c r="P9">
        <v>772</v>
      </c>
      <c r="Q9">
        <v>768</v>
      </c>
      <c r="R9">
        <v>758</v>
      </c>
      <c r="S9">
        <v>754</v>
      </c>
      <c r="T9">
        <v>746</v>
      </c>
      <c r="U9">
        <v>738</v>
      </c>
      <c r="V9">
        <v>774</v>
      </c>
      <c r="W9">
        <v>766</v>
      </c>
      <c r="X9">
        <v>753</v>
      </c>
      <c r="Y9">
        <v>742</v>
      </c>
      <c r="Z9">
        <v>739</v>
      </c>
      <c r="AA9">
        <v>839</v>
      </c>
      <c r="AB9">
        <v>807</v>
      </c>
      <c r="AC9">
        <v>790</v>
      </c>
      <c r="AD9">
        <v>771</v>
      </c>
      <c r="AE9">
        <v>767</v>
      </c>
      <c r="AF9">
        <v>754</v>
      </c>
      <c r="AG9">
        <v>791</v>
      </c>
      <c r="AH9">
        <v>781</v>
      </c>
      <c r="AI9">
        <v>774</v>
      </c>
      <c r="AJ9">
        <v>759</v>
      </c>
      <c r="AK9">
        <v>744</v>
      </c>
      <c r="AL9">
        <v>821</v>
      </c>
      <c r="AM9">
        <v>784</v>
      </c>
      <c r="AN9">
        <v>768</v>
      </c>
      <c r="AO9">
        <v>756</v>
      </c>
      <c r="AR9">
        <v>742</v>
      </c>
      <c r="AT9">
        <v>725</v>
      </c>
      <c r="AU9">
        <v>722</v>
      </c>
      <c r="BA9">
        <v>727</v>
      </c>
      <c r="BD9">
        <v>721</v>
      </c>
      <c r="BF9">
        <v>748</v>
      </c>
      <c r="BP9">
        <v>706</v>
      </c>
      <c r="BV9">
        <v>723</v>
      </c>
      <c r="FU9">
        <v>876</v>
      </c>
    </row>
    <row r="10">
      <c r="C10" t="str">
        <v>Espostoopsis dybowskii</v>
      </c>
      <c r="D10">
        <f>MIN(I10:XFD10)</f>
        <v>1579</v>
      </c>
      <c r="E10">
        <f>MAX(I10:XFD10)</f>
        <v>1583</v>
      </c>
      <c r="FQ10">
        <v>1583</v>
      </c>
      <c r="FU10">
        <v>1579</v>
      </c>
    </row>
    <row r="11">
      <c r="A11">
        <v>9</v>
      </c>
      <c r="C11" t="str">
        <v>Euphorbia aeruginosa</v>
      </c>
      <c r="D11">
        <f>MIN(BA11:XFD11)</f>
        <v>3812</v>
      </c>
      <c r="E11">
        <f>MAX(BD11:XFD11)</f>
        <v>4393</v>
      </c>
      <c r="H11">
        <v>10</v>
      </c>
      <c r="I11">
        <v>3927</v>
      </c>
      <c r="J11">
        <v>3900</v>
      </c>
      <c r="K11">
        <v>3854</v>
      </c>
      <c r="L11">
        <v>3824</v>
      </c>
      <c r="M11">
        <v>3789</v>
      </c>
      <c r="N11">
        <v>3769</v>
      </c>
      <c r="O11">
        <v>3742</v>
      </c>
      <c r="P11">
        <v>3724</v>
      </c>
      <c r="Q11">
        <v>3714</v>
      </c>
      <c r="R11">
        <v>3694</v>
      </c>
      <c r="S11">
        <v>3677</v>
      </c>
      <c r="T11">
        <v>3653</v>
      </c>
      <c r="U11">
        <v>3629</v>
      </c>
      <c r="V11">
        <v>3895</v>
      </c>
      <c r="W11">
        <v>3856</v>
      </c>
      <c r="X11">
        <v>3812</v>
      </c>
      <c r="Y11">
        <v>3774</v>
      </c>
      <c r="Z11">
        <v>3762</v>
      </c>
      <c r="AA11">
        <v>3739</v>
      </c>
      <c r="AB11">
        <v>3714</v>
      </c>
      <c r="AC11">
        <v>3689</v>
      </c>
      <c r="AD11">
        <v>3661</v>
      </c>
      <c r="AE11">
        <v>3646</v>
      </c>
      <c r="AF11">
        <v>3806</v>
      </c>
      <c r="AG11">
        <v>3766</v>
      </c>
      <c r="AH11">
        <v>3748</v>
      </c>
      <c r="AI11">
        <v>3729</v>
      </c>
      <c r="AJ11">
        <v>3688</v>
      </c>
      <c r="AK11">
        <v>3661</v>
      </c>
      <c r="AL11">
        <v>3628</v>
      </c>
      <c r="AM11">
        <v>3597</v>
      </c>
      <c r="AN11">
        <v>3759</v>
      </c>
      <c r="AO11">
        <v>3713</v>
      </c>
      <c r="AR11">
        <v>3672</v>
      </c>
      <c r="AT11">
        <v>3633</v>
      </c>
      <c r="AU11">
        <v>3620</v>
      </c>
      <c r="BA11">
        <f>3918</f>
        <v>3918</v>
      </c>
      <c r="BD11">
        <f>4045</f>
        <v>4045</v>
      </c>
      <c r="BP11">
        <f>3812</f>
        <v>3812</v>
      </c>
      <c r="BY11">
        <f>3909</f>
        <v>3909</v>
      </c>
      <c r="FQ11">
        <v>4393</v>
      </c>
      <c r="FT11">
        <v>4296</v>
      </c>
    </row>
    <row r="12">
      <c r="A12">
        <v>5</v>
      </c>
      <c r="C12" t="str">
        <v>Euphorbia enopla</v>
      </c>
      <c r="D12">
        <f>MIN(I12:XFD12)</f>
        <v>420</v>
      </c>
      <c r="E12">
        <f>MAX(I12:XFD12)</f>
        <v>560</v>
      </c>
      <c r="H12">
        <v>5</v>
      </c>
      <c r="I12">
        <v>495</v>
      </c>
      <c r="J12">
        <v>477</v>
      </c>
      <c r="K12">
        <v>459</v>
      </c>
      <c r="L12">
        <v>447</v>
      </c>
      <c r="M12">
        <v>491</v>
      </c>
      <c r="N12">
        <v>476</v>
      </c>
      <c r="O12">
        <v>460</v>
      </c>
      <c r="P12">
        <v>449</v>
      </c>
      <c r="Q12">
        <v>445</v>
      </c>
      <c r="R12">
        <v>491</v>
      </c>
      <c r="S12">
        <v>477</v>
      </c>
      <c r="T12">
        <v>460</v>
      </c>
      <c r="U12">
        <v>446</v>
      </c>
      <c r="V12">
        <v>509</v>
      </c>
      <c r="W12">
        <v>494</v>
      </c>
      <c r="X12">
        <v>471</v>
      </c>
      <c r="Y12">
        <v>452</v>
      </c>
      <c r="Z12">
        <v>448</v>
      </c>
      <c r="AA12">
        <v>560</v>
      </c>
      <c r="AB12">
        <v>532</v>
      </c>
      <c r="AC12">
        <v>511</v>
      </c>
      <c r="AD12">
        <v>482</v>
      </c>
      <c r="AE12">
        <v>472</v>
      </c>
      <c r="AF12">
        <v>446</v>
      </c>
      <c r="AG12">
        <v>492</v>
      </c>
      <c r="AH12">
        <v>482</v>
      </c>
      <c r="AI12">
        <v>461</v>
      </c>
      <c r="AJ12">
        <v>447</v>
      </c>
      <c r="AK12">
        <v>436</v>
      </c>
      <c r="AL12">
        <v>481</v>
      </c>
      <c r="AM12">
        <v>452</v>
      </c>
      <c r="AN12">
        <v>439</v>
      </c>
      <c r="AO12">
        <v>474</v>
      </c>
      <c r="AR12">
        <v>453</v>
      </c>
      <c r="AT12">
        <v>429</v>
      </c>
      <c r="AU12">
        <v>425</v>
      </c>
      <c r="BA12">
        <v>435</v>
      </c>
      <c r="BD12">
        <v>420</v>
      </c>
      <c r="BF12">
        <v>447</v>
      </c>
      <c r="BP12">
        <v>434</v>
      </c>
      <c r="BU12">
        <v>429</v>
      </c>
      <c r="BZ12">
        <v>432</v>
      </c>
      <c r="FQ12">
        <v>528</v>
      </c>
      <c r="FU12">
        <v>499</v>
      </c>
    </row>
    <row r="13">
      <c r="A13">
        <v>5</v>
      </c>
      <c r="C13" t="str">
        <v>Euphorbia loricata</v>
      </c>
      <c r="D13">
        <f>MIN(I13:XFD13)</f>
        <v>172</v>
      </c>
      <c r="E13">
        <f>MAX(I13:XFD13)</f>
        <v>172</v>
      </c>
      <c r="FU13">
        <v>172</v>
      </c>
    </row>
    <row r="14">
      <c r="A14">
        <v>9</v>
      </c>
      <c r="C14" t="str">
        <v>Euphorbia platyclada</v>
      </c>
      <c r="D14">
        <f>MIN(I14:XFD14)</f>
        <v>356</v>
      </c>
      <c r="E14">
        <f>MAX(I14:XFD14)</f>
        <v>542</v>
      </c>
      <c r="H14">
        <v>5</v>
      </c>
      <c r="I14">
        <v>407</v>
      </c>
      <c r="J14">
        <v>391</v>
      </c>
      <c r="K14">
        <v>376</v>
      </c>
      <c r="L14">
        <v>365</v>
      </c>
      <c r="M14">
        <v>477</v>
      </c>
      <c r="N14">
        <v>445</v>
      </c>
      <c r="O14">
        <v>425</v>
      </c>
      <c r="P14">
        <v>410</v>
      </c>
      <c r="Q14">
        <v>403</v>
      </c>
      <c r="R14">
        <v>390</v>
      </c>
      <c r="S14">
        <v>380</v>
      </c>
      <c r="T14">
        <v>372</v>
      </c>
      <c r="U14">
        <v>363</v>
      </c>
      <c r="V14">
        <v>471</v>
      </c>
      <c r="W14">
        <v>451</v>
      </c>
      <c r="X14">
        <v>428</v>
      </c>
      <c r="Y14">
        <v>412</v>
      </c>
      <c r="Z14">
        <v>405</v>
      </c>
      <c r="AA14">
        <v>394</v>
      </c>
      <c r="AB14">
        <v>382</v>
      </c>
      <c r="AC14">
        <v>372</v>
      </c>
      <c r="AD14">
        <v>362</v>
      </c>
      <c r="AE14">
        <v>356</v>
      </c>
      <c r="AF14">
        <v>542</v>
      </c>
      <c r="AG14">
        <v>500</v>
      </c>
      <c r="AH14">
        <v>481</v>
      </c>
      <c r="AI14">
        <v>460</v>
      </c>
      <c r="AJ14">
        <v>434</v>
      </c>
      <c r="AK14">
        <v>415</v>
      </c>
      <c r="AL14">
        <v>396</v>
      </c>
      <c r="AM14">
        <v>381</v>
      </c>
      <c r="AN14">
        <v>466</v>
      </c>
      <c r="AO14">
        <v>448</v>
      </c>
      <c r="AR14">
        <v>422</v>
      </c>
      <c r="AT14">
        <v>400</v>
      </c>
      <c r="AU14">
        <v>390</v>
      </c>
      <c r="BA14">
        <v>360</v>
      </c>
      <c r="BD14">
        <v>408</v>
      </c>
      <c r="BP14">
        <v>400</v>
      </c>
      <c r="BY14">
        <v>369</v>
      </c>
      <c r="FQ14">
        <v>430</v>
      </c>
      <c r="FU14">
        <v>403</v>
      </c>
    </row>
    <row r="15">
      <c r="A15">
        <v>14</v>
      </c>
      <c r="C15" t="str">
        <v>Ferocactus Glaucescens</v>
      </c>
      <c r="D15">
        <f>MIN(I15:XFD15)</f>
        <v>1237</v>
      </c>
      <c r="E15">
        <f>MAX(I15:XFD15)</f>
        <v>1445</v>
      </c>
      <c r="I15">
        <v>1445</v>
      </c>
      <c r="J15">
        <v>1432</v>
      </c>
      <c r="K15">
        <v>1414</v>
      </c>
      <c r="L15">
        <v>1403</v>
      </c>
      <c r="M15">
        <v>1391</v>
      </c>
      <c r="N15">
        <v>1382</v>
      </c>
      <c r="O15">
        <v>1374</v>
      </c>
      <c r="P15">
        <v>1367</v>
      </c>
      <c r="Q15">
        <v>1363</v>
      </c>
      <c r="R15">
        <v>1353</v>
      </c>
      <c r="S15">
        <v>1346</v>
      </c>
      <c r="T15">
        <v>1340</v>
      </c>
      <c r="U15">
        <v>1333</v>
      </c>
      <c r="V15">
        <v>1420</v>
      </c>
      <c r="W15">
        <v>1404</v>
      </c>
      <c r="X15">
        <v>1386</v>
      </c>
      <c r="Y15">
        <v>1370</v>
      </c>
      <c r="Z15">
        <v>1365</v>
      </c>
      <c r="AA15">
        <v>1355</v>
      </c>
      <c r="AB15">
        <v>1345</v>
      </c>
      <c r="AC15">
        <v>1336</v>
      </c>
      <c r="AD15">
        <v>1326</v>
      </c>
      <c r="AE15">
        <v>1322</v>
      </c>
      <c r="AF15">
        <v>1315</v>
      </c>
      <c r="AG15">
        <v>1367</v>
      </c>
      <c r="AH15">
        <v>1357</v>
      </c>
      <c r="AI15">
        <v>1347</v>
      </c>
      <c r="AJ15">
        <v>1334</v>
      </c>
      <c r="AK15">
        <v>1325</v>
      </c>
      <c r="AL15">
        <v>1314</v>
      </c>
      <c r="AM15">
        <v>1300</v>
      </c>
      <c r="AN15">
        <v>1391</v>
      </c>
      <c r="AO15">
        <v>1368</v>
      </c>
      <c r="AR15">
        <v>1346</v>
      </c>
      <c r="AT15">
        <v>1324</v>
      </c>
      <c r="AU15">
        <v>1318</v>
      </c>
      <c r="BA15">
        <v>1288</v>
      </c>
      <c r="BD15">
        <v>1313</v>
      </c>
      <c r="BP15">
        <v>1237</v>
      </c>
      <c r="FU15">
        <v>1335</v>
      </c>
    </row>
    <row r="16">
      <c r="A16">
        <v>9</v>
      </c>
      <c r="C16" t="str">
        <v>Lophocereus marginatus</v>
      </c>
      <c r="D16">
        <f>MIN(I16:XFD16)</f>
        <v>1359</v>
      </c>
      <c r="E16">
        <f>MAX(I16:XFD16)</f>
        <v>1589</v>
      </c>
      <c r="H16">
        <v>10</v>
      </c>
      <c r="I16">
        <v>1391</v>
      </c>
      <c r="J16">
        <v>1392</v>
      </c>
      <c r="K16">
        <v>1388</v>
      </c>
      <c r="L16">
        <v>1382</v>
      </c>
      <c r="M16">
        <v>1495</v>
      </c>
      <c r="N16">
        <v>1473</v>
      </c>
      <c r="O16">
        <v>1451</v>
      </c>
      <c r="P16">
        <v>1436</v>
      </c>
      <c r="Q16">
        <v>1432</v>
      </c>
      <c r="R16">
        <v>1421</v>
      </c>
      <c r="S16">
        <v>1414</v>
      </c>
      <c r="T16">
        <v>1406</v>
      </c>
      <c r="U16">
        <v>1398</v>
      </c>
      <c r="V16">
        <v>1540</v>
      </c>
      <c r="W16">
        <v>1520</v>
      </c>
      <c r="X16">
        <v>1491</v>
      </c>
      <c r="Y16">
        <v>1462</v>
      </c>
      <c r="Z16">
        <v>1450</v>
      </c>
      <c r="AA16">
        <v>1436</v>
      </c>
      <c r="AB16">
        <v>1423</v>
      </c>
      <c r="AC16">
        <v>1416</v>
      </c>
      <c r="AD16">
        <v>1404</v>
      </c>
      <c r="AE16">
        <v>1400</v>
      </c>
      <c r="AF16">
        <v>1562</v>
      </c>
      <c r="AG16">
        <v>1531</v>
      </c>
      <c r="AH16">
        <v>1514</v>
      </c>
      <c r="AI16">
        <v>1496</v>
      </c>
      <c r="AJ16">
        <v>1468</v>
      </c>
      <c r="AK16">
        <v>1452</v>
      </c>
      <c r="AL16">
        <v>1432</v>
      </c>
      <c r="AM16">
        <v>1416</v>
      </c>
      <c r="AN16">
        <v>1589</v>
      </c>
      <c r="AO16">
        <v>1556</v>
      </c>
      <c r="AR16">
        <v>1511</v>
      </c>
      <c r="AT16">
        <v>1473</v>
      </c>
      <c r="AU16">
        <v>1459</v>
      </c>
      <c r="AW16">
        <v>1431</v>
      </c>
      <c r="BA16">
        <v>1411</v>
      </c>
      <c r="BD16">
        <v>1467</v>
      </c>
      <c r="BP16">
        <v>1359</v>
      </c>
      <c r="BY16">
        <v>1412</v>
      </c>
      <c r="FQ16">
        <v>1522</v>
      </c>
      <c r="FU16">
        <v>1490</v>
      </c>
    </row>
    <row r="17">
      <c r="A17">
        <v>14</v>
      </c>
      <c r="B17" t="str">
        <v>big</v>
      </c>
      <c r="C17" t="str">
        <v>Mammillaria backebergiana</v>
      </c>
      <c r="D17">
        <f>MIN(I17:XFD17)</f>
        <v>1963</v>
      </c>
      <c r="E17">
        <f>MAX(I17:XFD17)</f>
        <v>2182</v>
      </c>
      <c r="H17">
        <v>10</v>
      </c>
      <c r="R17">
        <v>2182</v>
      </c>
      <c r="S17">
        <v>2169</v>
      </c>
      <c r="T17">
        <v>2155</v>
      </c>
      <c r="U17">
        <v>2144</v>
      </c>
      <c r="V17">
        <v>2136</v>
      </c>
      <c r="W17">
        <v>2125</v>
      </c>
      <c r="X17">
        <v>2119</v>
      </c>
      <c r="Y17">
        <v>2110</v>
      </c>
      <c r="Z17">
        <v>2105</v>
      </c>
      <c r="AA17">
        <v>2093</v>
      </c>
      <c r="AB17">
        <v>2076</v>
      </c>
      <c r="AC17">
        <v>2067</v>
      </c>
      <c r="AD17">
        <v>2049</v>
      </c>
      <c r="AE17">
        <v>2046</v>
      </c>
      <c r="AF17">
        <v>2031</v>
      </c>
      <c r="AH17">
        <v>2014</v>
      </c>
      <c r="AI17">
        <v>2011</v>
      </c>
      <c r="AJ17">
        <v>1996</v>
      </c>
      <c r="AK17">
        <v>1989</v>
      </c>
      <c r="AL17">
        <v>1974</v>
      </c>
      <c r="AM17">
        <v>1963</v>
      </c>
      <c r="AN17">
        <v>2057</v>
      </c>
      <c r="AO17">
        <v>2040</v>
      </c>
      <c r="AR17">
        <v>2023</v>
      </c>
      <c r="AT17">
        <v>2005</v>
      </c>
      <c r="AU17">
        <v>1999</v>
      </c>
      <c r="BA17">
        <v>1963</v>
      </c>
      <c r="BD17">
        <v>2023</v>
      </c>
      <c r="BP17">
        <v>2024</v>
      </c>
      <c r="FU17">
        <v>2112</v>
      </c>
    </row>
    <row r="18">
      <c r="A18">
        <v>7</v>
      </c>
      <c r="B18" t="str">
        <v>small</v>
      </c>
      <c r="C18" t="str">
        <v>Mammillaria backebergiana</v>
      </c>
      <c r="D18">
        <f>MIN(I18:XFD18)</f>
        <v>596</v>
      </c>
      <c r="E18">
        <f>MAX(I18:XFD18)</f>
        <v>653</v>
      </c>
      <c r="R18">
        <v>617</v>
      </c>
      <c r="S18">
        <v>611</v>
      </c>
      <c r="T18">
        <v>607</v>
      </c>
      <c r="U18">
        <v>604</v>
      </c>
      <c r="V18">
        <v>601</v>
      </c>
      <c r="W18">
        <v>598</v>
      </c>
      <c r="X18">
        <v>598</v>
      </c>
      <c r="Y18">
        <v>597</v>
      </c>
      <c r="Z18">
        <v>596</v>
      </c>
      <c r="AA18">
        <v>638</v>
      </c>
      <c r="AB18">
        <v>625</v>
      </c>
      <c r="AC18">
        <v>619</v>
      </c>
      <c r="AD18">
        <v>612</v>
      </c>
      <c r="AE18">
        <v>611</v>
      </c>
      <c r="AF18">
        <v>607</v>
      </c>
      <c r="AG18">
        <v>605</v>
      </c>
      <c r="AH18">
        <v>604</v>
      </c>
      <c r="AI18">
        <v>602</v>
      </c>
      <c r="AJ18">
        <v>601</v>
      </c>
      <c r="AK18">
        <v>600</v>
      </c>
      <c r="AL18">
        <v>624</v>
      </c>
      <c r="AM18">
        <v>615</v>
      </c>
      <c r="AN18">
        <v>611</v>
      </c>
      <c r="AO18">
        <v>611</v>
      </c>
      <c r="AQ18">
        <v>607</v>
      </c>
      <c r="AR18">
        <v>607</v>
      </c>
      <c r="AU18">
        <v>618</v>
      </c>
      <c r="AW18">
        <v>611</v>
      </c>
      <c r="BA18">
        <v>605</v>
      </c>
      <c r="BD18">
        <v>605</v>
      </c>
      <c r="BP18">
        <v>623</v>
      </c>
      <c r="BV18">
        <v>609</v>
      </c>
      <c r="CD18">
        <v>615</v>
      </c>
      <c r="FU18">
        <v>653</v>
      </c>
    </row>
    <row r="19">
      <c r="A19">
        <v>7</v>
      </c>
      <c r="C19" t="str">
        <v>Myrtillocactus geometrizans</v>
      </c>
      <c r="D19">
        <f>MIN(AN19:XFD19)</f>
        <v>3987</v>
      </c>
      <c r="E19">
        <f>MAX(AN19:XFD19)</f>
        <v>4412</v>
      </c>
      <c r="H19">
        <v>10</v>
      </c>
      <c r="I19">
        <v>2483</v>
      </c>
      <c r="J19">
        <v>2480</v>
      </c>
      <c r="K19">
        <v>2464</v>
      </c>
      <c r="L19">
        <v>2454</v>
      </c>
      <c r="M19">
        <v>2588</v>
      </c>
      <c r="N19">
        <v>2557</v>
      </c>
      <c r="O19">
        <v>2530</v>
      </c>
      <c r="P19">
        <v>2516</v>
      </c>
      <c r="Q19">
        <v>2510</v>
      </c>
      <c r="R19">
        <v>2487</v>
      </c>
      <c r="S19">
        <v>2474</v>
      </c>
      <c r="T19">
        <v>2460</v>
      </c>
      <c r="U19">
        <v>2445</v>
      </c>
      <c r="V19">
        <v>2651</v>
      </c>
      <c r="W19">
        <v>2606</v>
      </c>
      <c r="X19">
        <v>2568</v>
      </c>
      <c r="Y19">
        <v>2542</v>
      </c>
      <c r="Z19">
        <v>2532</v>
      </c>
      <c r="AA19">
        <v>2511</v>
      </c>
      <c r="AB19">
        <v>2491</v>
      </c>
      <c r="AC19">
        <v>2473</v>
      </c>
      <c r="AD19">
        <v>2456</v>
      </c>
      <c r="AE19">
        <v>2452</v>
      </c>
      <c r="AF19">
        <v>2675</v>
      </c>
      <c r="AN19">
        <v>4200</v>
      </c>
      <c r="AO19">
        <v>4412</v>
      </c>
      <c r="AR19">
        <v>4265</v>
      </c>
      <c r="AT19">
        <v>4216</v>
      </c>
      <c r="AU19">
        <v>4200</v>
      </c>
      <c r="BA19">
        <v>4183</v>
      </c>
      <c r="BD19">
        <v>4147</v>
      </c>
      <c r="BP19">
        <v>4071</v>
      </c>
      <c r="BV19">
        <v>4020</v>
      </c>
      <c r="CD19">
        <v>4023</v>
      </c>
      <c r="FU19">
        <v>3987</v>
      </c>
    </row>
    <row r="20">
      <c r="A20" t="str">
        <v>20 - 31</v>
      </c>
      <c r="C20" t="str">
        <v>Neocardenasia herzogiana</v>
      </c>
      <c r="D20">
        <f>MIN(I20:XFD20)</f>
        <v>5000</v>
      </c>
      <c r="E20">
        <f>MAX(I20:XFD20)</f>
        <v>5500</v>
      </c>
      <c r="H20">
        <v>10</v>
      </c>
      <c r="I20">
        <v>5300</v>
      </c>
      <c r="J20">
        <v>5200</v>
      </c>
      <c r="K20">
        <v>5200</v>
      </c>
      <c r="L20">
        <v>5200</v>
      </c>
      <c r="M20">
        <v>5200</v>
      </c>
      <c r="N20">
        <v>5100</v>
      </c>
      <c r="O20">
        <v>5200</v>
      </c>
      <c r="P20">
        <v>5200</v>
      </c>
      <c r="Q20">
        <v>5100</v>
      </c>
      <c r="R20">
        <v>5100</v>
      </c>
      <c r="S20">
        <v>5100</v>
      </c>
      <c r="T20">
        <v>5100</v>
      </c>
      <c r="U20">
        <v>5100</v>
      </c>
      <c r="V20">
        <v>5500</v>
      </c>
      <c r="W20">
        <v>5400</v>
      </c>
      <c r="X20">
        <v>5400</v>
      </c>
      <c r="Y20">
        <v>5400</v>
      </c>
      <c r="Z20">
        <v>5400</v>
      </c>
      <c r="AA20">
        <v>5300</v>
      </c>
      <c r="AB20">
        <v>5300</v>
      </c>
      <c r="AC20">
        <v>5300</v>
      </c>
      <c r="AD20">
        <v>5300</v>
      </c>
      <c r="AE20">
        <v>5200</v>
      </c>
      <c r="AF20">
        <v>5200</v>
      </c>
      <c r="AG20">
        <v>5200</v>
      </c>
      <c r="AH20">
        <v>5200</v>
      </c>
      <c r="AI20">
        <v>5200</v>
      </c>
      <c r="AJ20">
        <v>5200</v>
      </c>
      <c r="AK20">
        <v>5200</v>
      </c>
      <c r="AL20">
        <v>5200</v>
      </c>
      <c r="AN20">
        <v>5100</v>
      </c>
      <c r="AO20">
        <v>5200</v>
      </c>
      <c r="AP20">
        <v>5100</v>
      </c>
      <c r="AR20">
        <v>5100</v>
      </c>
      <c r="AS20">
        <v>5100</v>
      </c>
      <c r="AT20">
        <v>5100</v>
      </c>
      <c r="AU20">
        <v>5100</v>
      </c>
      <c r="AY20">
        <v>5100</v>
      </c>
      <c r="BA20">
        <v>5100</v>
      </c>
      <c r="BD20">
        <v>5100</v>
      </c>
      <c r="BP20">
        <v>5400</v>
      </c>
      <c r="CQ20">
        <v>5000</v>
      </c>
      <c r="DI20">
        <v>5100</v>
      </c>
      <c r="FU20">
        <v>5100</v>
      </c>
    </row>
    <row r="21">
      <c r="A21">
        <v>14</v>
      </c>
      <c r="C21" t="str">
        <v>Parodia leninghausii</v>
      </c>
      <c r="D21">
        <f>MIN(I21:XFD21)</f>
        <v>2901</v>
      </c>
      <c r="E21">
        <f>MAX(I21:XFD21)</f>
        <v>3284</v>
      </c>
      <c r="H21">
        <v>2</v>
      </c>
      <c r="I21">
        <v>3284</v>
      </c>
      <c r="J21">
        <v>3263</v>
      </c>
      <c r="K21">
        <v>3235</v>
      </c>
      <c r="L21">
        <v>3214</v>
      </c>
      <c r="M21">
        <v>3191</v>
      </c>
      <c r="N21">
        <v>3178</v>
      </c>
      <c r="O21">
        <v>3156</v>
      </c>
      <c r="P21">
        <v>3145</v>
      </c>
      <c r="Q21">
        <v>3137</v>
      </c>
      <c r="R21">
        <v>3117</v>
      </c>
      <c r="S21">
        <v>3104</v>
      </c>
      <c r="T21">
        <v>3086</v>
      </c>
      <c r="U21">
        <v>3067</v>
      </c>
      <c r="V21">
        <v>3212</v>
      </c>
      <c r="W21">
        <v>3184</v>
      </c>
      <c r="X21">
        <v>3150</v>
      </c>
      <c r="Y21">
        <v>3122</v>
      </c>
      <c r="Z21">
        <v>3111</v>
      </c>
      <c r="AA21">
        <v>3096</v>
      </c>
      <c r="AB21">
        <v>3078</v>
      </c>
      <c r="AC21">
        <v>3061</v>
      </c>
      <c r="AD21">
        <v>3043</v>
      </c>
      <c r="AE21">
        <v>3036</v>
      </c>
      <c r="AF21">
        <v>3174</v>
      </c>
      <c r="AG21">
        <v>3143</v>
      </c>
      <c r="AH21">
        <v>3125</v>
      </c>
      <c r="AI21">
        <v>3111</v>
      </c>
      <c r="AJ21">
        <v>3085</v>
      </c>
      <c r="AK21">
        <v>3063</v>
      </c>
      <c r="AL21">
        <v>3039</v>
      </c>
      <c r="AM21">
        <v>3016</v>
      </c>
      <c r="AN21">
        <v>3277</v>
      </c>
      <c r="AO21">
        <v>3231</v>
      </c>
      <c r="AR21">
        <v>3164</v>
      </c>
      <c r="AT21">
        <v>3107</v>
      </c>
      <c r="AU21">
        <v>3094</v>
      </c>
      <c r="BA21">
        <v>3012</v>
      </c>
      <c r="BD21">
        <v>3079</v>
      </c>
      <c r="BP21">
        <v>2901</v>
      </c>
      <c r="FT21">
        <v>3075</v>
      </c>
      <c r="FU21">
        <v>3077</v>
      </c>
    </row>
    <row r="22">
      <c r="A22">
        <v>7</v>
      </c>
      <c r="C22" t="str">
        <v>Parodia magnifica</v>
      </c>
      <c r="D22">
        <f>MIN(AG22:XFD22)</f>
        <v>718</v>
      </c>
      <c r="E22">
        <f>MAX(AG22:XFD22)</f>
        <v>812</v>
      </c>
      <c r="H22">
        <v>10</v>
      </c>
      <c r="I22">
        <v>718</v>
      </c>
      <c r="J22">
        <v>712</v>
      </c>
      <c r="K22">
        <v>705</v>
      </c>
      <c r="L22">
        <v>700</v>
      </c>
      <c r="M22">
        <v>714</v>
      </c>
      <c r="N22">
        <v>705</v>
      </c>
      <c r="O22">
        <v>700</v>
      </c>
      <c r="P22">
        <v>695</v>
      </c>
      <c r="Q22">
        <v>693</v>
      </c>
      <c r="R22">
        <v>702</v>
      </c>
      <c r="S22">
        <v>697</v>
      </c>
      <c r="T22">
        <v>690</v>
      </c>
      <c r="U22">
        <v>703</v>
      </c>
      <c r="V22">
        <v>693</v>
      </c>
      <c r="W22">
        <v>687</v>
      </c>
      <c r="X22">
        <v>681</v>
      </c>
      <c r="Y22">
        <v>675</v>
      </c>
      <c r="Z22">
        <v>673</v>
      </c>
      <c r="AA22">
        <v>690</v>
      </c>
      <c r="AB22">
        <v>682</v>
      </c>
      <c r="AC22">
        <v>676</v>
      </c>
      <c r="AD22">
        <v>667</v>
      </c>
      <c r="AE22">
        <v>665</v>
      </c>
      <c r="AF22">
        <v>680</v>
      </c>
      <c r="AG22">
        <v>812</v>
      </c>
      <c r="AH22">
        <v>804</v>
      </c>
      <c r="AI22">
        <v>795</v>
      </c>
      <c r="AJ22">
        <v>781</v>
      </c>
      <c r="AK22">
        <v>769</v>
      </c>
      <c r="AL22">
        <v>759</v>
      </c>
      <c r="AM22">
        <v>747</v>
      </c>
      <c r="AN22">
        <v>768</v>
      </c>
      <c r="AO22">
        <v>757</v>
      </c>
      <c r="AR22">
        <v>741</v>
      </c>
      <c r="AU22">
        <v>726</v>
      </c>
      <c r="BA22">
        <v>734</v>
      </c>
      <c r="BD22">
        <v>732</v>
      </c>
      <c r="BF22">
        <v>757</v>
      </c>
      <c r="BP22">
        <v>733</v>
      </c>
      <c r="BY22">
        <v>718</v>
      </c>
      <c r="CD22">
        <v>725</v>
      </c>
      <c r="FU22">
        <v>766</v>
      </c>
    </row>
    <row r="23">
      <c r="A23">
        <v>14</v>
      </c>
      <c r="C23" t="str">
        <v>Stetsonia coryne</v>
      </c>
      <c r="D23">
        <f>MIN(I23:XFD23)</f>
        <v>1373</v>
      </c>
      <c r="E23">
        <f>MAX(I23:XFD23)</f>
        <v>1584</v>
      </c>
      <c r="H23">
        <v>-8</v>
      </c>
      <c r="I23">
        <v>1418</v>
      </c>
      <c r="J23">
        <v>1419</v>
      </c>
      <c r="K23">
        <v>1414</v>
      </c>
      <c r="L23">
        <v>1411</v>
      </c>
      <c r="M23">
        <v>1493</v>
      </c>
      <c r="N23">
        <v>1473</v>
      </c>
      <c r="O23">
        <v>1458</v>
      </c>
      <c r="P23">
        <v>1449</v>
      </c>
      <c r="Q23">
        <v>1447</v>
      </c>
      <c r="R23">
        <v>1435</v>
      </c>
      <c r="S23">
        <v>1429</v>
      </c>
      <c r="T23">
        <v>1421</v>
      </c>
      <c r="U23">
        <v>1413</v>
      </c>
      <c r="V23">
        <v>1584</v>
      </c>
      <c r="W23">
        <v>1566</v>
      </c>
      <c r="X23">
        <v>1539</v>
      </c>
      <c r="Y23">
        <v>1506</v>
      </c>
      <c r="Z23">
        <v>1497</v>
      </c>
      <c r="AA23">
        <v>1484</v>
      </c>
      <c r="AB23">
        <v>1469</v>
      </c>
      <c r="AC23">
        <v>1457</v>
      </c>
      <c r="AD23">
        <v>1444</v>
      </c>
      <c r="AE23">
        <v>1441</v>
      </c>
      <c r="AF23">
        <v>1428</v>
      </c>
      <c r="AG23">
        <v>1556</v>
      </c>
      <c r="AH23">
        <v>1541</v>
      </c>
      <c r="AI23">
        <v>1525</v>
      </c>
      <c r="AJ23">
        <v>1497</v>
      </c>
      <c r="AK23">
        <v>1480</v>
      </c>
      <c r="AL23">
        <v>1473</v>
      </c>
      <c r="AM23">
        <v>1467</v>
      </c>
      <c r="AN23">
        <v>1464</v>
      </c>
      <c r="AO23">
        <v>1455</v>
      </c>
      <c r="AR23">
        <v>1437</v>
      </c>
      <c r="AT23">
        <v>1423</v>
      </c>
      <c r="AU23">
        <v>1417</v>
      </c>
      <c r="AW23">
        <v>1397</v>
      </c>
      <c r="BA23">
        <v>1556</v>
      </c>
      <c r="BD23">
        <v>1475</v>
      </c>
      <c r="BP23">
        <v>1373</v>
      </c>
      <c r="FU23">
        <v>1488</v>
      </c>
    </row>
    <row r="24">
      <c r="A24">
        <v>14</v>
      </c>
      <c r="C24" t="str">
        <v>Tephrocactus molinensis</v>
      </c>
      <c r="D24">
        <f>MIN(I24:XFD24)</f>
        <v>347</v>
      </c>
      <c r="E24">
        <f>MAX(I24:XFD24)</f>
        <v>456</v>
      </c>
      <c r="H24">
        <v>5</v>
      </c>
      <c r="I24">
        <v>456</v>
      </c>
      <c r="J24">
        <v>445</v>
      </c>
      <c r="K24">
        <v>432</v>
      </c>
      <c r="L24">
        <v>424</v>
      </c>
      <c r="M24">
        <v>416</v>
      </c>
      <c r="N24">
        <v>408</v>
      </c>
      <c r="O24">
        <v>400</v>
      </c>
      <c r="P24">
        <v>395</v>
      </c>
      <c r="Q24">
        <v>393</v>
      </c>
      <c r="R24">
        <v>386</v>
      </c>
      <c r="S24">
        <v>382</v>
      </c>
      <c r="T24">
        <v>378</v>
      </c>
      <c r="U24">
        <v>374</v>
      </c>
      <c r="V24">
        <v>422</v>
      </c>
      <c r="W24">
        <v>414</v>
      </c>
      <c r="X24">
        <v>406</v>
      </c>
      <c r="Y24">
        <v>397</v>
      </c>
      <c r="Z24">
        <v>394</v>
      </c>
      <c r="AA24">
        <v>387</v>
      </c>
      <c r="AB24">
        <v>382</v>
      </c>
      <c r="AC24">
        <v>377</v>
      </c>
      <c r="AD24">
        <v>371</v>
      </c>
      <c r="AE24">
        <v>369</v>
      </c>
      <c r="AF24">
        <v>429</v>
      </c>
      <c r="AG24">
        <v>417</v>
      </c>
      <c r="AH24">
        <v>410</v>
      </c>
      <c r="AI24">
        <v>404</v>
      </c>
      <c r="AJ24">
        <v>398</v>
      </c>
      <c r="AK24">
        <v>390</v>
      </c>
      <c r="AL24">
        <v>383</v>
      </c>
      <c r="AM24">
        <v>374</v>
      </c>
      <c r="AN24">
        <v>422</v>
      </c>
      <c r="AO24">
        <v>411</v>
      </c>
      <c r="AR24">
        <v>396</v>
      </c>
      <c r="AT24">
        <v>382</v>
      </c>
      <c r="AU24">
        <v>378</v>
      </c>
      <c r="BA24">
        <v>378</v>
      </c>
      <c r="BD24">
        <v>379</v>
      </c>
      <c r="BP24">
        <v>370</v>
      </c>
      <c r="BY24">
        <v>378</v>
      </c>
      <c r="FU24">
        <v>347</v>
      </c>
    </row>
    <row r="25">
      <c r="A25">
        <v>7</v>
      </c>
      <c r="C25" t="str">
        <v>Trichocereus pachanoi</v>
      </c>
      <c r="D25">
        <f>MIN(I25:XFD25)</f>
        <v>592</v>
      </c>
      <c r="E25">
        <f>MAX(I25:XFD25)</f>
        <v>728</v>
      </c>
      <c r="H25" t="str">
        <v>0 (-12)</v>
      </c>
      <c r="R25">
        <v>630</v>
      </c>
      <c r="S25">
        <v>622</v>
      </c>
      <c r="T25">
        <v>616</v>
      </c>
      <c r="U25">
        <v>611</v>
      </c>
      <c r="V25">
        <v>607</v>
      </c>
      <c r="W25">
        <v>602</v>
      </c>
      <c r="X25">
        <v>599</v>
      </c>
      <c r="Y25">
        <v>595</v>
      </c>
      <c r="Z25">
        <v>592</v>
      </c>
      <c r="AA25">
        <v>727</v>
      </c>
      <c r="AB25">
        <v>693</v>
      </c>
      <c r="AC25">
        <v>672</v>
      </c>
      <c r="AD25">
        <v>657</v>
      </c>
      <c r="AE25">
        <v>651</v>
      </c>
      <c r="AF25">
        <v>643</v>
      </c>
      <c r="AG25">
        <v>637</v>
      </c>
      <c r="AH25">
        <v>632</v>
      </c>
      <c r="AI25">
        <v>630</v>
      </c>
      <c r="AJ25">
        <v>623</v>
      </c>
      <c r="AK25">
        <v>620</v>
      </c>
      <c r="AL25">
        <v>634</v>
      </c>
      <c r="AM25">
        <v>623</v>
      </c>
      <c r="AN25">
        <v>618</v>
      </c>
      <c r="AO25">
        <v>615</v>
      </c>
      <c r="AQ25">
        <v>609</v>
      </c>
      <c r="AR25">
        <v>607</v>
      </c>
      <c r="AU25">
        <v>617</v>
      </c>
      <c r="AW25">
        <v>608</v>
      </c>
      <c r="BA25">
        <v>598</v>
      </c>
      <c r="BD25">
        <v>627</v>
      </c>
      <c r="BP25">
        <v>622</v>
      </c>
      <c r="BV25">
        <v>615</v>
      </c>
      <c r="FU25">
        <v>728</v>
      </c>
    </row>
    <row r="26">
      <c r="A26">
        <v>20</v>
      </c>
      <c r="C26" t="str">
        <v>Weberbauerocereus horridispinum</v>
      </c>
      <c r="D26">
        <f>MIN(I26:XFD26)</f>
        <v>2779</v>
      </c>
      <c r="E26">
        <f>MAX(I26:XFD26)</f>
        <v>3111</v>
      </c>
      <c r="H26">
        <v>10</v>
      </c>
      <c r="I26">
        <v>2789</v>
      </c>
      <c r="J26">
        <v>2790</v>
      </c>
      <c r="K26">
        <v>2781</v>
      </c>
      <c r="L26">
        <v>2779</v>
      </c>
      <c r="M26">
        <v>2843</v>
      </c>
      <c r="N26">
        <v>2879</v>
      </c>
      <c r="O26">
        <v>2863</v>
      </c>
      <c r="P26">
        <v>2851</v>
      </c>
      <c r="Q26">
        <v>2846</v>
      </c>
      <c r="R26">
        <v>2835</v>
      </c>
      <c r="S26">
        <v>2826</v>
      </c>
      <c r="T26">
        <v>2816</v>
      </c>
      <c r="U26">
        <v>2809</v>
      </c>
      <c r="V26">
        <v>3111</v>
      </c>
      <c r="W26">
        <v>3069</v>
      </c>
      <c r="X26">
        <v>3038</v>
      </c>
      <c r="Y26">
        <v>3012</v>
      </c>
      <c r="Z26">
        <v>3003</v>
      </c>
      <c r="AA26">
        <v>2987</v>
      </c>
      <c r="AB26">
        <v>2972</v>
      </c>
      <c r="AC26">
        <v>2954</v>
      </c>
      <c r="AD26">
        <v>2940</v>
      </c>
      <c r="AE26">
        <v>2934</v>
      </c>
      <c r="AF26">
        <v>2919</v>
      </c>
      <c r="AG26">
        <v>2907</v>
      </c>
      <c r="AH26">
        <v>2901</v>
      </c>
      <c r="AI26">
        <v>2892</v>
      </c>
      <c r="AJ26">
        <v>2876</v>
      </c>
      <c r="AK26">
        <v>2866</v>
      </c>
      <c r="AL26">
        <v>2848</v>
      </c>
      <c r="AM26">
        <v>2831</v>
      </c>
      <c r="AN26">
        <v>2817</v>
      </c>
      <c r="AO26">
        <v>2806</v>
      </c>
      <c r="AR26">
        <v>2797</v>
      </c>
      <c r="AT26">
        <v>2784</v>
      </c>
      <c r="AU26">
        <v>2783</v>
      </c>
      <c r="BA26">
        <v>2879</v>
      </c>
      <c r="BD26">
        <v>2804</v>
      </c>
      <c r="BP26">
        <v>2860</v>
      </c>
      <c r="BY26">
        <v>2788</v>
      </c>
      <c r="FU26">
        <v>2844</v>
      </c>
    </row>
    <row r="27">
      <c r="A27">
        <v>2</v>
      </c>
      <c r="C27" t="str">
        <v>Pistokas Mammilaria mini</v>
      </c>
      <c r="D27">
        <f>MIN(X27:BP27)</f>
        <v>136</v>
      </c>
      <c r="E27">
        <f>$D27-BP27</f>
        <v>0</v>
      </c>
      <c r="X27">
        <v>147</v>
      </c>
      <c r="Y27">
        <v>138</v>
      </c>
      <c r="Z27">
        <v>137</v>
      </c>
      <c r="AA27">
        <v>136</v>
      </c>
      <c r="AB27">
        <v>137</v>
      </c>
      <c r="AC27">
        <v>136</v>
      </c>
      <c r="AD27">
        <v>136</v>
      </c>
      <c r="AE27">
        <v>137</v>
      </c>
      <c r="AF27">
        <v>137</v>
      </c>
      <c r="AG27">
        <v>138</v>
      </c>
      <c r="AI27">
        <v>157</v>
      </c>
      <c r="AJ27">
        <v>138</v>
      </c>
      <c r="AK27">
        <v>136</v>
      </c>
      <c r="AL27">
        <v>136</v>
      </c>
      <c r="AM27">
        <v>138</v>
      </c>
      <c r="AN27">
        <v>137</v>
      </c>
      <c r="AO27">
        <v>138</v>
      </c>
      <c r="AQ27">
        <v>153</v>
      </c>
      <c r="AR27">
        <v>138</v>
      </c>
      <c r="AS27">
        <v>139</v>
      </c>
      <c r="AT27">
        <v>136</v>
      </c>
      <c r="AU27">
        <v>141</v>
      </c>
      <c r="AV27">
        <v>138</v>
      </c>
      <c r="AW27">
        <v>137</v>
      </c>
      <c r="AX27">
        <v>137</v>
      </c>
      <c r="AZ27">
        <v>143</v>
      </c>
      <c r="BA27">
        <v>138</v>
      </c>
      <c r="BD27">
        <v>137</v>
      </c>
      <c r="BP27">
        <v>136</v>
      </c>
    </row>
    <row r="28">
      <c r="A28">
        <v>7</v>
      </c>
      <c r="C28" t="str">
        <v>Pistokas 2M bonsai, ikkunanlauta</v>
      </c>
      <c r="D28">
        <f>MIN(X28:BP28)</f>
        <v>391</v>
      </c>
      <c r="E28">
        <f>$D28-BP28</f>
        <v>-12</v>
      </c>
      <c r="AG28">
        <v>408</v>
      </c>
      <c r="AN28">
        <v>392</v>
      </c>
      <c r="AO28">
        <v>415</v>
      </c>
      <c r="AQ28">
        <v>397</v>
      </c>
      <c r="AR28">
        <v>394</v>
      </c>
      <c r="AS28">
        <v>412</v>
      </c>
      <c r="AT28">
        <v>403</v>
      </c>
      <c r="AW28">
        <v>399</v>
      </c>
      <c r="BD28">
        <v>391</v>
      </c>
      <c r="BP28">
        <v>403</v>
      </c>
    </row>
    <row r="29">
      <c r="A29">
        <v>7</v>
      </c>
      <c r="C29" t="str">
        <v>Pistokas M + T bonsai, ikkunanlauta</v>
      </c>
      <c r="D29">
        <f>MIN(X29:BP29)</f>
        <v>412</v>
      </c>
      <c r="E29">
        <f>$D29-BV29</f>
        <v>0</v>
      </c>
      <c r="AG29">
        <v>431</v>
      </c>
      <c r="AN29">
        <v>413</v>
      </c>
      <c r="AO29">
        <v>421</v>
      </c>
      <c r="AQ29">
        <v>414</v>
      </c>
      <c r="AR29">
        <v>413</v>
      </c>
      <c r="AS29">
        <v>433</v>
      </c>
      <c r="AT29">
        <v>424</v>
      </c>
      <c r="AW29">
        <v>413</v>
      </c>
      <c r="BD29">
        <v>412</v>
      </c>
      <c r="BP29">
        <v>415</v>
      </c>
      <c r="BV29">
        <v>412</v>
      </c>
    </row>
    <row r="30">
      <c r="A30">
        <v>7</v>
      </c>
      <c r="C30" t="str">
        <v>Pistokas 2T bonsai, ikkunanlauta</v>
      </c>
      <c r="D30">
        <f>MIN(X30:BP30)</f>
        <v>350</v>
      </c>
      <c r="E30">
        <f>$D30-BP30</f>
        <v>-6</v>
      </c>
      <c r="AG30">
        <v>374</v>
      </c>
      <c r="AN30">
        <v>352</v>
      </c>
      <c r="AO30">
        <v>362</v>
      </c>
      <c r="AQ30">
        <v>354</v>
      </c>
      <c r="AR30">
        <v>353</v>
      </c>
      <c r="AS30">
        <v>364</v>
      </c>
      <c r="AT30">
        <v>358</v>
      </c>
      <c r="AW30">
        <v>352</v>
      </c>
      <c r="BD30">
        <v>350</v>
      </c>
      <c r="BP30">
        <v>356</v>
      </c>
    </row>
    <row r="31">
      <c r="A31">
        <v>2</v>
      </c>
      <c r="C31" t="str">
        <v>Pistokas 2T terra</v>
      </c>
      <c r="D31">
        <f>MIN(X31:BP31)</f>
        <v>144</v>
      </c>
      <c r="E31">
        <f>$D31-BP31</f>
        <v>0</v>
      </c>
      <c r="AG31">
        <v>154</v>
      </c>
      <c r="AN31">
        <v>146</v>
      </c>
      <c r="AO31">
        <v>146</v>
      </c>
      <c r="AQ31">
        <v>154</v>
      </c>
      <c r="AR31">
        <v>146</v>
      </c>
      <c r="AS31">
        <v>147</v>
      </c>
      <c r="AT31">
        <v>146</v>
      </c>
      <c r="AU31">
        <v>148</v>
      </c>
      <c r="AV31">
        <v>146</v>
      </c>
      <c r="AW31">
        <v>146</v>
      </c>
      <c r="AX31">
        <v>145</v>
      </c>
      <c r="AZ31">
        <v>148</v>
      </c>
      <c r="BA31">
        <v>146</v>
      </c>
      <c r="BD31">
        <v>145</v>
      </c>
      <c r="BP31">
        <v>144</v>
      </c>
    </row>
    <row r="32">
      <c r="A32">
        <v>7</v>
      </c>
      <c r="C32" t="str">
        <v>Pistokas 4T muovi, ikkunanlauta</v>
      </c>
      <c r="D32">
        <f>MIN(X32:BP32)</f>
        <v>447</v>
      </c>
      <c r="E32">
        <f>$D32-BV32</f>
        <v>1</v>
      </c>
      <c r="AG32">
        <v>505</v>
      </c>
      <c r="AN32">
        <v>460</v>
      </c>
      <c r="AO32">
        <v>479</v>
      </c>
      <c r="AQ32">
        <v>462</v>
      </c>
      <c r="AR32">
        <v>458</v>
      </c>
      <c r="AS32">
        <v>483</v>
      </c>
      <c r="AT32">
        <v>471</v>
      </c>
      <c r="AW32">
        <v>452</v>
      </c>
      <c r="BD32">
        <v>447</v>
      </c>
      <c r="BP32">
        <v>453</v>
      </c>
      <c r="BV32">
        <v>446</v>
      </c>
    </row>
    <row r="33">
      <c r="A33">
        <v>7</v>
      </c>
      <c r="C33" t="str">
        <v>Pistokas T terra, ikkunanlauta</v>
      </c>
      <c r="D33">
        <f>MIN(X33:BP33)</f>
        <v>363</v>
      </c>
      <c r="E33">
        <f>$D33-BP33</f>
        <v>-4</v>
      </c>
      <c r="AG33">
        <v>381</v>
      </c>
      <c r="AN33">
        <v>364</v>
      </c>
      <c r="AO33">
        <v>369</v>
      </c>
      <c r="AQ33">
        <v>365</v>
      </c>
      <c r="AR33">
        <v>364</v>
      </c>
      <c r="AS33">
        <v>372</v>
      </c>
      <c r="AT33">
        <v>367</v>
      </c>
      <c r="AW33">
        <v>363</v>
      </c>
      <c r="BD33">
        <v>363</v>
      </c>
      <c r="BP33">
        <v>367</v>
      </c>
    </row>
    <row r="34">
      <c r="A34" t="str">
        <v>kesä</v>
      </c>
      <c r="C34" t="str">
        <v>seuraava</v>
      </c>
      <c r="D34" t="str">
        <v>talvi</v>
      </c>
      <c r="E34" t="str">
        <v>seuraava</v>
      </c>
      <c r="G34" t="str">
        <v>Lannoitettu</v>
      </c>
      <c r="CD34" t="str">
        <v xml:space="preserve"> </v>
      </c>
    </row>
    <row r="35" xml:space="preserve">
      <c r="A35">
        <v>20</v>
      </c>
      <c r="B35">
        <v>7.9</v>
      </c>
      <c r="C35" xml:space="preserve">
        <f xml:space="preserve">LET(
    _xlpm.num, B35,
    _xlpm.day, INT(_xlpm.num),
    _xlpm.month, ROUND((_xlpm.num - _xlpm.day) * 10, 0),
    DATE(2026, _xlpm.month, _xlpm.day)
) + A35</f>
        <v>46292</v>
      </c>
      <c r="D35">
        <v>40</v>
      </c>
      <c r="E35" xml:space="preserve">
        <f xml:space="preserve">LET(
    _xlpm.num, B35,
    _xlpm.day, INT(_xlpm.num),
    _xlpm.month, ROUND((_xlpm.num - _xlpm.day) * 10, 0),
    DATE(2026, _xlpm.month, _xlpm.day)
) + D35</f>
        <v>46312</v>
      </c>
      <c r="G35">
        <v>25.7</v>
      </c>
    </row>
    <row r="36" xml:space="preserve">
      <c r="A36">
        <v>20</v>
      </c>
      <c r="B36">
        <v>7.9</v>
      </c>
      <c r="C36" xml:space="preserve">
        <f xml:space="preserve">LET(
    _xlpm.num, B36,
    _xlpm.day, INT(_xlpm.num),
    _xlpm.month, ROUND((_xlpm.num - _xlpm.day) * 10, 0),
    DATE(2026, _xlpm.month, _xlpm.day)
) + A36</f>
        <v>46292</v>
      </c>
      <c r="D36">
        <v>40</v>
      </c>
      <c r="E36" xml:space="preserve">
        <f xml:space="preserve">LET(
    _xlpm.num, B36,
    _xlpm.day, INT(_xlpm.num),
    _xlpm.month, ROUND((_xlpm.num - _xlpm.day) * 10, 0),
    DATE(2026, _xlpm.month, _xlpm.day)
) + D36</f>
        <v>46312</v>
      </c>
      <c r="G36" t="str">
        <v>6,7 ja 25,7</v>
      </c>
      <c r="BY36" t="str">
        <v xml:space="preserve"> </v>
      </c>
    </row>
    <row r="37" xml:space="preserve">
      <c r="A37">
        <v>14</v>
      </c>
      <c r="B37">
        <v>7.9</v>
      </c>
      <c r="C37" xml:space="preserve">
        <f xml:space="preserve">LET(
    _xlpm.num, B37,
    _xlpm.day, INT(_xlpm.num),
    _xlpm.month, ROUND((_xlpm.num - _xlpm.day) * 10, 0),
    DATE(2026, _xlpm.month, _xlpm.day)
) + A37</f>
        <v>46286</v>
      </c>
      <c r="D37">
        <v>28</v>
      </c>
      <c r="E37" xml:space="preserve">
        <f xml:space="preserve">LET(
    _xlpm.num, B37,
    _xlpm.day, INT(_xlpm.num),
    _xlpm.month, ROUND((_xlpm.num - _xlpm.day) * 10, 0),
    DATE(2026, _xlpm.month, _xlpm.day)
) + D37</f>
        <v>46300</v>
      </c>
      <c r="G37">
        <v>6.7</v>
      </c>
    </row>
    <row r="38" xml:space="preserve">
      <c r="A38">
        <v>9</v>
      </c>
      <c r="B38">
        <v>10.9</v>
      </c>
      <c r="C38" xml:space="preserve">
        <f xml:space="preserve">LET(
    _xlpm.num, B38,
    _xlpm.day, INT(_xlpm.num),
    _xlpm.month, ROUND((_xlpm.num - _xlpm.day) * 10, 0),
    DATE(2026, _xlpm.month, _xlpm.day)
) + A38</f>
        <v>46284</v>
      </c>
      <c r="D38">
        <v>18</v>
      </c>
      <c r="E38" xml:space="preserve">
        <f xml:space="preserve">LET(
    _xlpm.num, B38,
    _xlpm.day, INT(_xlpm.num),
    _xlpm.month, ROUND((_xlpm.num - _xlpm.day) * 10, 0),
    DATE(2026, _xlpm.month, _xlpm.day)
) + D38</f>
        <v>46293</v>
      </c>
      <c r="G38">
        <v>13.7</v>
      </c>
    </row>
    <row r="39" xml:space="preserve">
      <c r="A39">
        <v>7</v>
      </c>
      <c r="B39">
        <v>17.9</v>
      </c>
      <c r="C39" xml:space="preserve">
        <f xml:space="preserve">LET(
    _xlpm.num, B39,
    _xlpm.day, INT(_xlpm.num),
    _xlpm.month, ROUND((_xlpm.num - _xlpm.day) * 10, 0),
    DATE(2026, _xlpm.month, _xlpm.day)
) + A39</f>
        <v>46289</v>
      </c>
      <c r="D39">
        <v>14</v>
      </c>
      <c r="E39" xml:space="preserve">
        <f xml:space="preserve">LET(
    _xlpm.num, B39,
    _xlpm.day, INT(_xlpm.num),
    _xlpm.month, ROUND((_xlpm.num - _xlpm.day) * 10, 0),
    DATE(2026, _xlpm.month, _xlpm.day)
) + D39</f>
        <v>46296</v>
      </c>
      <c r="G39" t="str">
        <v>6,7 ja  13,7</v>
      </c>
    </row>
    <row r="40" xml:space="preserve">
      <c r="A40">
        <v>5</v>
      </c>
      <c r="B40">
        <v>14.9</v>
      </c>
      <c r="C40" xml:space="preserve">
        <f xml:space="preserve">LET(
    _xlpm.num, B40,
    _xlpm.day, INT(_xlpm.num),
    _xlpm.month, ROUND((_xlpm.num - _xlpm.day) * 10, 0),
    DATE(2026, _xlpm.month, _xlpm.day)
) + A40</f>
        <v>46284</v>
      </c>
      <c r="D40">
        <v>10</v>
      </c>
      <c r="E40" xml:space="preserve">
        <f xml:space="preserve">LET(
    _xlpm.num, B40,
    _xlpm.day, INT(_xlpm.num),
    _xlpm.month, ROUND((_xlpm.num - _xlpm.day) * 10, 0),
    DATE(2026, _xlpm.month, _xlpm.day)
) + D40</f>
        <v>46289</v>
      </c>
      <c r="G40">
        <v>13.7</v>
      </c>
    </row>
    <row r="41" xml:space="preserve">
      <c r="A41">
        <v>2</v>
      </c>
      <c r="B41">
        <v>23.9</v>
      </c>
      <c r="C41" xml:space="preserve">
        <f xml:space="preserve">LET(
    _xlpm.num, B41,
    _xlpm.day, INT(_xlpm.num),
    _xlpm.month, ROUND((_xlpm.num - _xlpm.day) * 10, 0),
    DATE(2026, _xlpm.month, _xlpm.day)
) + A41</f>
        <v>46290</v>
      </c>
      <c r="D41">
        <v>2</v>
      </c>
      <c r="E41" xml:space="preserve">
        <f xml:space="preserve">LET(
    _xlpm.num, B41,
    _xlpm.day, INT(_xlpm.num),
    _xlpm.month, ROUND((_xlpm.num - _xlpm.day) * 10, 0),
    DATE(2026, _xlpm.month, _xlpm.day)
) + D41</f>
        <v>46290</v>
      </c>
    </row>
  </sheetData>
  <pageMargins left="0.7" right="0.7" top="0.75" bottom="0.75" header="0.3" footer="0.3"/>
  <ignoredErrors>
    <ignoredError numberStoredAsText="1" sqref="A1:JA4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Kaktukset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2026-04-10T08:25:21Z</dcterms:created>
  <dcterms:modified xsi:type="dcterms:W3CDTF">2026-09-24T15:01:40Z</dcterms:modified>
  <cp:lastModifiedBy>Vallu V</cp:lastModifiedBy>
</cp:coreProperties>
</file>